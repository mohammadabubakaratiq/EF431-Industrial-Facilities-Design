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07_01_EF431_Industrial Facilities Design\Lab_EF431_Industrial_Facilities_Design\"/>
    </mc:Choice>
  </mc:AlternateContent>
  <bookViews>
    <workbookView xWindow="0" yWindow="0" windowWidth="28800" windowHeight="12000" firstSheet="1" activeTab="5"/>
  </bookViews>
  <sheets>
    <sheet name="Lab_01_Task" sheetId="4" r:id="rId1"/>
    <sheet name="Sheet1" sheetId="1" r:id="rId2"/>
    <sheet name="LAB_01" sheetId="2" r:id="rId3"/>
    <sheet name="LAB_02" sheetId="5" r:id="rId4"/>
    <sheet name="LAB_03-1" sheetId="7" r:id="rId5"/>
    <sheet name="LAB_03-2" sheetId="8" r:id="rId6"/>
  </sheets>
  <definedNames>
    <definedName name="_xlnm.Print_Area" localSheetId="3">LAB_02!$A$1:$AM$47</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 i="7" l="1"/>
  <c r="E11" i="7"/>
  <c r="E12" i="7"/>
  <c r="E13" i="7"/>
  <c r="E14" i="7"/>
  <c r="E15" i="7"/>
  <c r="E16" i="7"/>
  <c r="E17" i="7"/>
  <c r="E18" i="7"/>
  <c r="E19" i="7"/>
  <c r="E20" i="7"/>
  <c r="E21" i="7"/>
  <c r="E22" i="7"/>
  <c r="E23" i="7"/>
  <c r="E24" i="7"/>
  <c r="E25" i="7"/>
  <c r="E26" i="7"/>
  <c r="E27" i="7"/>
  <c r="E28" i="7"/>
  <c r="E29" i="7"/>
  <c r="E9" i="7"/>
  <c r="D9" i="7"/>
  <c r="D10" i="7"/>
  <c r="D11" i="7"/>
  <c r="D12" i="7"/>
  <c r="D13" i="7"/>
  <c r="D14" i="7"/>
  <c r="D15" i="7"/>
  <c r="D16" i="7"/>
  <c r="D17" i="7"/>
  <c r="D18" i="7"/>
  <c r="D19" i="7"/>
  <c r="D20" i="7"/>
  <c r="D21" i="7"/>
  <c r="D22" i="7"/>
  <c r="D23" i="7"/>
  <c r="D24" i="7"/>
  <c r="D25" i="7"/>
  <c r="D26" i="7"/>
  <c r="D27" i="7"/>
  <c r="D28" i="7"/>
  <c r="D29" i="7"/>
  <c r="C10" i="7"/>
  <c r="C11" i="7"/>
  <c r="C12" i="7"/>
  <c r="C13" i="7"/>
  <c r="C14" i="7"/>
  <c r="C15" i="7"/>
  <c r="C16" i="7"/>
  <c r="C17" i="7"/>
  <c r="C18" i="7"/>
  <c r="C19" i="7"/>
  <c r="C20" i="7"/>
  <c r="C21" i="7"/>
  <c r="C22" i="7"/>
  <c r="C23" i="7"/>
  <c r="C24" i="7"/>
  <c r="C25" i="7"/>
  <c r="C26" i="7"/>
  <c r="C27" i="7"/>
  <c r="C28" i="7"/>
  <c r="C29" i="7"/>
  <c r="C9" i="7"/>
  <c r="B10" i="7"/>
  <c r="B11" i="7"/>
  <c r="B12" i="7"/>
  <c r="B13" i="7"/>
  <c r="B14" i="7"/>
  <c r="B15" i="7"/>
  <c r="B16" i="7"/>
  <c r="B17" i="7"/>
  <c r="B18" i="7"/>
  <c r="B19" i="7"/>
  <c r="B20" i="7"/>
  <c r="B21" i="7"/>
  <c r="B22" i="7"/>
  <c r="B23" i="7"/>
  <c r="B24" i="7"/>
  <c r="B25" i="7"/>
  <c r="B26" i="7"/>
  <c r="B27" i="7"/>
  <c r="B28" i="7"/>
  <c r="B29" i="7"/>
  <c r="B9" i="7"/>
  <c r="A19" i="7"/>
  <c r="A20" i="7"/>
  <c r="A21" i="7" s="1"/>
  <c r="A22" i="7" s="1"/>
  <c r="A23" i="7" s="1"/>
  <c r="A24" i="7" s="1"/>
  <c r="A25" i="7" s="1"/>
  <c r="A26" i="7" s="1"/>
  <c r="A27" i="7" s="1"/>
  <c r="A28" i="7" s="1"/>
  <c r="A29" i="7" s="1"/>
  <c r="A11" i="7"/>
  <c r="A12" i="7"/>
  <c r="A13" i="7" s="1"/>
  <c r="A14" i="7" s="1"/>
  <c r="A15" i="7" s="1"/>
  <c r="A16" i="7" s="1"/>
  <c r="A17" i="7" s="1"/>
  <c r="A18" i="7" s="1"/>
  <c r="A10" i="7"/>
  <c r="D9" i="8"/>
  <c r="D10" i="8"/>
  <c r="D11" i="8"/>
  <c r="D12" i="8"/>
  <c r="D13" i="8"/>
  <c r="D14" i="8"/>
  <c r="D15" i="8"/>
  <c r="D16" i="8"/>
  <c r="C9" i="8"/>
  <c r="C10" i="8"/>
  <c r="C11" i="8"/>
  <c r="C12" i="8"/>
  <c r="C13" i="8"/>
  <c r="C14" i="8"/>
  <c r="C15" i="8"/>
  <c r="C16" i="8"/>
  <c r="D8" i="8"/>
  <c r="C8" i="8"/>
  <c r="B9" i="8"/>
  <c r="B10" i="8"/>
  <c r="B11" i="8"/>
  <c r="B12" i="8"/>
  <c r="B13" i="8"/>
  <c r="B14" i="8"/>
  <c r="B15" i="8"/>
  <c r="B16" i="8"/>
  <c r="B8" i="8"/>
  <c r="D4" i="8"/>
  <c r="D3" i="8"/>
  <c r="D2" i="8"/>
  <c r="D3" i="7"/>
  <c r="D4" i="7"/>
  <c r="D5" i="7"/>
  <c r="D2" i="7"/>
  <c r="S39" i="5" l="1"/>
  <c r="R21" i="5"/>
  <c r="R22" i="5"/>
  <c r="R20" i="5"/>
  <c r="R19" i="5"/>
  <c r="O43" i="5"/>
  <c r="O42" i="5"/>
  <c r="O41" i="5"/>
  <c r="O40" i="5"/>
  <c r="N41" i="5"/>
  <c r="N42" i="5"/>
  <c r="N43" i="5"/>
  <c r="N40" i="5"/>
  <c r="S32" i="5"/>
  <c r="S31" i="5"/>
  <c r="S30" i="5"/>
  <c r="S29" i="5"/>
  <c r="R32" i="5"/>
  <c r="R31" i="5"/>
  <c r="R30" i="5"/>
  <c r="R29" i="5"/>
  <c r="S22" i="5"/>
  <c r="S21" i="5"/>
  <c r="S20" i="5"/>
  <c r="S19" i="5"/>
  <c r="N19" i="5"/>
  <c r="E32" i="5"/>
  <c r="N46" i="5" l="1"/>
  <c r="R35" i="5"/>
  <c r="R25" i="5"/>
  <c r="N35" i="5"/>
  <c r="N25" i="5"/>
  <c r="N32" i="5"/>
  <c r="N31" i="5"/>
  <c r="N30" i="5"/>
  <c r="N29" i="5"/>
  <c r="N22" i="5"/>
  <c r="N20" i="5"/>
  <c r="N21" i="5"/>
  <c r="F28" i="5"/>
  <c r="F29" i="5"/>
  <c r="F30" i="5"/>
  <c r="F27" i="5"/>
  <c r="E34" i="5" s="1"/>
  <c r="E31" i="5"/>
  <c r="D16" i="5"/>
  <c r="D18" i="5" s="1"/>
  <c r="E33" i="5" l="1"/>
  <c r="D17" i="5"/>
  <c r="X36" i="4"/>
  <c r="AD35" i="4"/>
  <c r="AC35" i="4"/>
  <c r="AB35" i="4"/>
  <c r="AD34" i="4"/>
  <c r="AC34" i="4"/>
  <c r="AB34" i="4"/>
  <c r="AD33" i="4"/>
  <c r="AC33" i="4"/>
  <c r="AB33" i="4"/>
  <c r="AD32" i="4"/>
  <c r="AC32" i="4"/>
  <c r="AB32" i="4"/>
  <c r="AD31" i="4"/>
  <c r="AC31" i="4"/>
  <c r="AC36" i="4" s="1"/>
  <c r="AB31" i="4"/>
  <c r="AD30" i="4"/>
  <c r="AD36" i="4" s="1"/>
  <c r="AC30" i="4"/>
  <c r="AB30" i="4"/>
  <c r="AB36" i="4" s="1"/>
  <c r="G21" i="4"/>
  <c r="AI18" i="4"/>
  <c r="AO18" i="4" s="1"/>
  <c r="AI17" i="4"/>
  <c r="AM17" i="4" s="1"/>
  <c r="AI16" i="4"/>
  <c r="AM16" i="4" s="1"/>
  <c r="N16" i="4"/>
  <c r="AI15" i="4"/>
  <c r="AO15" i="4" s="1"/>
  <c r="T15" i="4"/>
  <c r="S15" i="4"/>
  <c r="R15" i="4"/>
  <c r="AO14" i="4"/>
  <c r="AI14" i="4"/>
  <c r="AN14" i="4" s="1"/>
  <c r="T14" i="4"/>
  <c r="S14" i="4"/>
  <c r="R14" i="4"/>
  <c r="AO13" i="4"/>
  <c r="AN13" i="4"/>
  <c r="AI13" i="4"/>
  <c r="AI19" i="4" s="1"/>
  <c r="T13" i="4"/>
  <c r="S13" i="4"/>
  <c r="R13" i="4"/>
  <c r="T12" i="4"/>
  <c r="S12" i="4"/>
  <c r="R12" i="4"/>
  <c r="T11" i="4"/>
  <c r="S11" i="4"/>
  <c r="S16" i="4" s="1"/>
  <c r="R11" i="4"/>
  <c r="R16" i="4" s="1"/>
  <c r="T10" i="4"/>
  <c r="T16" i="4" s="1"/>
  <c r="S10" i="4"/>
  <c r="R10" i="4"/>
  <c r="N18" i="4" l="1"/>
  <c r="X38" i="4"/>
  <c r="AN16" i="4"/>
  <c r="AN17" i="4"/>
  <c r="AM18" i="4"/>
  <c r="AM15" i="4"/>
  <c r="AM14" i="4"/>
  <c r="AN15" i="4"/>
  <c r="AN19" i="4" s="1"/>
  <c r="AM13" i="4"/>
  <c r="AO16" i="4"/>
  <c r="AO19" i="4" s="1"/>
  <c r="AO17" i="4"/>
  <c r="AN18" i="4"/>
  <c r="AM19" i="4" l="1"/>
  <c r="AI21" i="4" s="1"/>
  <c r="K14" i="2" l="1"/>
  <c r="K15" i="2"/>
  <c r="K16" i="2"/>
  <c r="K17" i="2"/>
  <c r="K18" i="2"/>
  <c r="K13" i="2"/>
  <c r="E19" i="1"/>
  <c r="D19" i="1"/>
  <c r="F16" i="1"/>
  <c r="F17" i="1"/>
  <c r="F18" i="1"/>
  <c r="F15" i="1"/>
  <c r="F19" i="1" l="1"/>
  <c r="I15" i="1" s="1"/>
  <c r="I16" i="1" l="1"/>
</calcChain>
</file>

<file path=xl/sharedStrings.xml><?xml version="1.0" encoding="utf-8"?>
<sst xmlns="http://schemas.openxmlformats.org/spreadsheetml/2006/main" count="261" uniqueCount="126">
  <si>
    <t>n</t>
  </si>
  <si>
    <t>x</t>
  </si>
  <si>
    <t>y</t>
  </si>
  <si>
    <t>volume</t>
  </si>
  <si>
    <t>Sum</t>
  </si>
  <si>
    <t>x-coordinate</t>
  </si>
  <si>
    <t>y-coordinate</t>
  </si>
  <si>
    <t>Location</t>
  </si>
  <si>
    <t>Utility</t>
  </si>
  <si>
    <t>Hospital</t>
  </si>
  <si>
    <t>Office</t>
  </si>
  <si>
    <t>Fractions (sum 1)</t>
  </si>
  <si>
    <t>A (DHA 4)</t>
  </si>
  <si>
    <t>B (FHS)</t>
  </si>
  <si>
    <t>C ( Ask 1)</t>
  </si>
  <si>
    <t>D (DHA 11)</t>
  </si>
  <si>
    <t>E (PCSIR)</t>
  </si>
  <si>
    <t>F (ST)</t>
  </si>
  <si>
    <t>Sec</t>
  </si>
  <si>
    <t>Envir</t>
  </si>
  <si>
    <t>Pricing (V &amp; F)</t>
  </si>
  <si>
    <t xml:space="preserve"> School</t>
  </si>
  <si>
    <t>A &amp; R</t>
  </si>
  <si>
    <t>Weightaged Fraction</t>
  </si>
  <si>
    <t>Factor</t>
  </si>
  <si>
    <t>Easy Access</t>
  </si>
  <si>
    <t>Display area</t>
  </si>
  <si>
    <t>Transportation costs</t>
  </si>
  <si>
    <t>A</t>
  </si>
  <si>
    <t>B</t>
  </si>
  <si>
    <t>C</t>
  </si>
  <si>
    <t>Score</t>
  </si>
  <si>
    <t>Composite Score</t>
  </si>
  <si>
    <t>Weight</t>
  </si>
  <si>
    <t>(1)</t>
  </si>
  <si>
    <t>(2)</t>
  </si>
  <si>
    <t>(3)</t>
  </si>
  <si>
    <t>(4)</t>
  </si>
  <si>
    <t>(1)x(2)</t>
  </si>
  <si>
    <t>(1)x(3)</t>
  </si>
  <si>
    <t>(1)x(4)</t>
  </si>
  <si>
    <t>Industrial Facilities Design</t>
  </si>
  <si>
    <t>Course Code: EF431</t>
  </si>
  <si>
    <t>Parking Facilities</t>
  </si>
  <si>
    <t>Shopper (walking) traffic</t>
  </si>
  <si>
    <t>Operating costs</t>
  </si>
  <si>
    <t>Total Weight Sum -&gt;&gt;&gt;&gt;</t>
  </si>
  <si>
    <t>Total Score -&gt;&gt;&gt;&gt;</t>
  </si>
  <si>
    <t>Decision Final</t>
  </si>
  <si>
    <t>Sr#</t>
  </si>
  <si>
    <t>Market</t>
  </si>
  <si>
    <t>Demand/Month (tons)</t>
  </si>
  <si>
    <t>X-Coordinate</t>
  </si>
  <si>
    <t>Y-Coordinate</t>
  </si>
  <si>
    <t>D</t>
  </si>
  <si>
    <t>X*</t>
  </si>
  <si>
    <t>Y*</t>
  </si>
  <si>
    <t>∑Qi</t>
  </si>
  <si>
    <t>Qi</t>
  </si>
  <si>
    <t>Xi</t>
  </si>
  <si>
    <t>Yi</t>
  </si>
  <si>
    <t>Cost/Ton</t>
  </si>
  <si>
    <t>$ (Dollar) (Ci)</t>
  </si>
  <si>
    <t>Ci*Qi</t>
  </si>
  <si>
    <t>∑Ci*Qi</t>
  </si>
  <si>
    <t>Location (X)</t>
  </si>
  <si>
    <t>Trips/Year (li)</t>
  </si>
  <si>
    <t>Cincinnati</t>
  </si>
  <si>
    <t>Dayton</t>
  </si>
  <si>
    <t>Cleveland</t>
  </si>
  <si>
    <t>Toledo</t>
  </si>
  <si>
    <t>Lima</t>
  </si>
  <si>
    <t>if consider</t>
  </si>
  <si>
    <t>Sr #</t>
  </si>
  <si>
    <t>di</t>
  </si>
  <si>
    <t>li</t>
  </si>
  <si>
    <t>d13</t>
  </si>
  <si>
    <t>d23</t>
  </si>
  <si>
    <t>d43</t>
  </si>
  <si>
    <t>d53</t>
  </si>
  <si>
    <t>LD</t>
  </si>
  <si>
    <t>d14</t>
  </si>
  <si>
    <t>d24</t>
  </si>
  <si>
    <t>d34</t>
  </si>
  <si>
    <t>d45</t>
  </si>
  <si>
    <t>Supply Capacity</t>
  </si>
  <si>
    <t>P1</t>
  </si>
  <si>
    <t>P2</t>
  </si>
  <si>
    <t>W1</t>
  </si>
  <si>
    <t>W2</t>
  </si>
  <si>
    <t>W3</t>
  </si>
  <si>
    <t>Shipping Cost</t>
  </si>
  <si>
    <t>D1</t>
  </si>
  <si>
    <t>Weekly Demand</t>
  </si>
  <si>
    <t>D2</t>
  </si>
  <si>
    <t>D3</t>
  </si>
  <si>
    <t>D4</t>
  </si>
  <si>
    <t>D5</t>
  </si>
  <si>
    <t>D6</t>
  </si>
  <si>
    <t>D7</t>
  </si>
  <si>
    <t>D8</t>
  </si>
  <si>
    <t>d21</t>
  </si>
  <si>
    <t>d31</t>
  </si>
  <si>
    <t>d41</t>
  </si>
  <si>
    <t>d51</t>
  </si>
  <si>
    <t>=</t>
  </si>
  <si>
    <t>d12</t>
  </si>
  <si>
    <t>d32</t>
  </si>
  <si>
    <t>d42</t>
  </si>
  <si>
    <t>d52</t>
  </si>
  <si>
    <t>d15</t>
  </si>
  <si>
    <t>d25</t>
  </si>
  <si>
    <t>d35</t>
  </si>
  <si>
    <t>Minimum Score</t>
  </si>
  <si>
    <t>Final Decision</t>
  </si>
  <si>
    <t>Fixed Cost</t>
  </si>
  <si>
    <t>Total Cost</t>
  </si>
  <si>
    <t>Variable Cost</t>
  </si>
  <si>
    <t>Expected Volume</t>
  </si>
  <si>
    <t>Akron</t>
  </si>
  <si>
    <t>Bowling Green</t>
  </si>
  <si>
    <t>Chicago</t>
  </si>
  <si>
    <t>Volume</t>
  </si>
  <si>
    <t>Akron (TC)</t>
  </si>
  <si>
    <t>Bowling Green (TC)</t>
  </si>
  <si>
    <t>Chicago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</si>
</sst>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quot;$&quot;* #,##0.00_);_(&quot;$&quot;* \(#,##0.00\);_(&quot;$&quot;* &quot;-&quot;??_);_(@_)"/>
    <numFmt numFmtId="43" formatCode="_(* #,##0.00_);_(* \(#,##0.00\);_(* &quot;-&quot;??_);_(@_)"/>
    <numFmt numFmtId="164" formatCode="_(&quot;$&quot;* #,##0_);_(&quot;$&quot;* \(#,##0\);_(&quot;$&quot;* &quot;-&quot;??_);_(@_)"/>
  </numFmts>
  <fonts count="4" x14ac:knownFonts="1">
    <font>
      <sz val="11"/>
      <color theme="1"/>
      <name val="Calibri"/>
      <family val="2"/>
      <scheme val="minor"/>
    </font>
    <font>
      <sz val="11"/>
      <color rgb="FFFF0000"/>
      <name val="Calibri"/>
      <family val="2"/>
      <scheme val="minor"/>
    </font>
    <font>
      <sz val="11"/>
      <color theme="1"/>
      <name val="Calibri"/>
      <family val="2"/>
    </font>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7"/>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3">
    <xf numFmtId="0" fontId="0" fillId="0" borderId="0"/>
    <xf numFmtId="44" fontId="3" fillId="0" borderId="0" applyFont="0" applyFill="0" applyBorder="0" applyAlignment="0" applyProtection="0"/>
    <xf numFmtId="43" fontId="3" fillId="0" borderId="0" applyFont="0" applyFill="0" applyBorder="0" applyAlignment="0" applyProtection="0"/>
  </cellStyleXfs>
  <cellXfs count="43">
    <xf numFmtId="0" fontId="0" fillId="0" borderId="0" xfId="0"/>
    <xf numFmtId="0" fontId="0" fillId="0" borderId="1" xfId="0" applyBorder="1" applyAlignment="1">
      <alignment horizontal="center" vertical="center"/>
    </xf>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0" xfId="0" applyBorder="1"/>
    <xf numFmtId="0" fontId="0" fillId="0" borderId="0" xfId="0" applyFill="1" applyBorder="1" applyAlignment="1">
      <alignment horizontal="center" vertical="center"/>
    </xf>
    <xf numFmtId="0" fontId="0" fillId="0" borderId="1" xfId="0" applyBorder="1" applyAlignment="1">
      <alignment horizontal="center" vertical="center"/>
    </xf>
    <xf numFmtId="0" fontId="0" fillId="0" borderId="1" xfId="0" applyFill="1" applyBorder="1" applyAlignment="1">
      <alignment horizontal="center" vertical="center"/>
    </xf>
    <xf numFmtId="49" fontId="0" fillId="0" borderId="1" xfId="0" applyNumberFormat="1" applyBorder="1" applyAlignment="1">
      <alignment horizontal="center" vertical="center"/>
    </xf>
    <xf numFmtId="0" fontId="0" fillId="0" borderId="0" xfId="0"/>
    <xf numFmtId="0" fontId="0" fillId="0" borderId="3" xfId="0" applyBorder="1" applyAlignment="1">
      <alignment horizontal="center" vertical="center"/>
    </xf>
    <xf numFmtId="0" fontId="0" fillId="2" borderId="1" xfId="0" applyFill="1" applyBorder="1" applyAlignment="1">
      <alignment horizontal="right"/>
    </xf>
    <xf numFmtId="0" fontId="0" fillId="2" borderId="1" xfId="0" applyFill="1" applyBorder="1" applyAlignment="1">
      <alignment horizontal="center" vertical="center"/>
    </xf>
    <xf numFmtId="0" fontId="1" fillId="3" borderId="1" xfId="0" applyFont="1" applyFill="1" applyBorder="1" applyAlignment="1">
      <alignment horizontal="center" vertical="center"/>
    </xf>
    <xf numFmtId="0" fontId="0" fillId="2" borderId="1" xfId="0" applyFill="1" applyBorder="1"/>
    <xf numFmtId="0" fontId="0" fillId="0" borderId="1" xfId="0" applyBorder="1" applyAlignment="1">
      <alignment horizontal="center" vertical="center"/>
    </xf>
    <xf numFmtId="0" fontId="0" fillId="0" borderId="0" xfId="0"/>
    <xf numFmtId="0" fontId="0" fillId="0" borderId="0" xfId="0" applyAlignment="1">
      <alignment horizontal="center" vertical="center"/>
    </xf>
    <xf numFmtId="0" fontId="0" fillId="0" borderId="1" xfId="0" applyFont="1" applyFill="1" applyBorder="1" applyAlignment="1">
      <alignment horizontal="center" vertical="center"/>
    </xf>
    <xf numFmtId="2" fontId="0" fillId="0" borderId="1" xfId="0" applyNumberFormat="1" applyBorder="1" applyAlignment="1">
      <alignment horizontal="center" vertical="center"/>
    </xf>
    <xf numFmtId="2" fontId="0" fillId="0" borderId="0" xfId="0" applyNumberFormat="1"/>
    <xf numFmtId="0" fontId="2" fillId="0" borderId="1" xfId="0" applyFont="1" applyBorder="1" applyAlignment="1">
      <alignment horizontal="center" vertical="center"/>
    </xf>
    <xf numFmtId="0" fontId="2" fillId="0" borderId="0" xfId="0" applyFont="1" applyFill="1" applyBorder="1" applyAlignment="1">
      <alignment horizontal="center" vertical="center"/>
    </xf>
    <xf numFmtId="0" fontId="0" fillId="0" borderId="0" xfId="0" applyAlignment="1">
      <alignment horizontal="center"/>
    </xf>
    <xf numFmtId="44" fontId="0" fillId="0" borderId="1" xfId="1" applyFont="1" applyBorder="1" applyAlignment="1">
      <alignment horizontal="center" vertical="center"/>
    </xf>
    <xf numFmtId="0" fontId="0" fillId="0" borderId="1" xfId="0" applyFill="1" applyBorder="1" applyAlignment="1">
      <alignment horizontal="center" vertical="center" wrapText="1"/>
    </xf>
    <xf numFmtId="0" fontId="0" fillId="0" borderId="1" xfId="1" applyNumberFormat="1" applyFont="1" applyFill="1" applyBorder="1" applyAlignment="1">
      <alignment horizontal="center" vertical="center"/>
    </xf>
    <xf numFmtId="164" fontId="0" fillId="0" borderId="1" xfId="1" applyNumberFormat="1" applyFont="1" applyBorder="1" applyAlignment="1">
      <alignment horizontal="center" vertical="center"/>
    </xf>
    <xf numFmtId="0" fontId="0" fillId="0" borderId="1" xfId="0" applyBorder="1"/>
    <xf numFmtId="0" fontId="0" fillId="0" borderId="1" xfId="0" applyBorder="1" applyAlignment="1">
      <alignment horizontal="center" vertical="center"/>
    </xf>
    <xf numFmtId="0" fontId="0" fillId="0" borderId="0" xfId="0"/>
    <xf numFmtId="0" fontId="0" fillId="0" borderId="1" xfId="0" applyBorder="1"/>
    <xf numFmtId="0" fontId="0" fillId="0" borderId="1" xfId="0" applyBorder="1" applyAlignment="1">
      <alignment horizontal="center" vertical="center"/>
    </xf>
    <xf numFmtId="0" fontId="0" fillId="0" borderId="2" xfId="0" applyBorder="1" applyAlignment="1">
      <alignment horizontal="center" vertical="center"/>
    </xf>
    <xf numFmtId="0" fontId="0" fillId="0" borderId="0" xfId="0"/>
    <xf numFmtId="0" fontId="0" fillId="2" borderId="1" xfId="0" applyFont="1" applyFill="1" applyBorder="1" applyAlignment="1">
      <alignment horizontal="center" vertical="center"/>
    </xf>
    <xf numFmtId="0" fontId="0" fillId="0" borderId="1" xfId="0" applyBorder="1"/>
    <xf numFmtId="0" fontId="0" fillId="0" borderId="1" xfId="0" applyBorder="1" applyAlignment="1">
      <alignment horizontal="center" vertical="center" wrapText="1"/>
    </xf>
    <xf numFmtId="0" fontId="0" fillId="0" borderId="1" xfId="0" applyBorder="1" applyAlignment="1">
      <alignment wrapText="1"/>
    </xf>
    <xf numFmtId="2" fontId="0" fillId="0" borderId="1" xfId="0" applyNumberFormat="1" applyBorder="1"/>
    <xf numFmtId="43" fontId="0" fillId="0" borderId="1" xfId="2" applyFont="1" applyBorder="1"/>
    <xf numFmtId="0" fontId="0" fillId="0" borderId="1" xfId="0" applyFill="1" applyBorder="1"/>
    <xf numFmtId="43" fontId="0" fillId="0" borderId="1" xfId="0" applyNumberFormat="1" applyBorder="1"/>
  </cellXfs>
  <cellStyles count="3">
    <cellStyle name="Comma" xfId="2" builtinId="3"/>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'LAB_03-1'!$B$8</c:f>
              <c:strCache>
                <c:ptCount val="1"/>
                <c:pt idx="0">
                  <c:v>A</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'LAB_03-1'!$A$9:$A$29</c:f>
              <c:numCache>
                <c:formatCode>General</c:formatCode>
                <c:ptCount val="2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numCache>
            </c:numRef>
          </c:xVal>
          <c:yVal>
            <c:numRef>
              <c:f>'LAB_03-1'!$B$9:$B$29</c:f>
              <c:numCache>
                <c:formatCode>General</c:formatCode>
                <c:ptCount val="21"/>
                <c:pt idx="0">
                  <c:v>350000</c:v>
                </c:pt>
                <c:pt idx="1">
                  <c:v>352500</c:v>
                </c:pt>
                <c:pt idx="2">
                  <c:v>355000</c:v>
                </c:pt>
                <c:pt idx="3">
                  <c:v>357500</c:v>
                </c:pt>
                <c:pt idx="4">
                  <c:v>360000</c:v>
                </c:pt>
                <c:pt idx="5">
                  <c:v>362500</c:v>
                </c:pt>
                <c:pt idx="6">
                  <c:v>365000</c:v>
                </c:pt>
                <c:pt idx="7">
                  <c:v>367500</c:v>
                </c:pt>
                <c:pt idx="8">
                  <c:v>370000</c:v>
                </c:pt>
                <c:pt idx="9">
                  <c:v>372500</c:v>
                </c:pt>
                <c:pt idx="10">
                  <c:v>375000</c:v>
                </c:pt>
                <c:pt idx="11">
                  <c:v>377500</c:v>
                </c:pt>
                <c:pt idx="12">
                  <c:v>380000</c:v>
                </c:pt>
                <c:pt idx="13">
                  <c:v>382500</c:v>
                </c:pt>
                <c:pt idx="14">
                  <c:v>385000</c:v>
                </c:pt>
                <c:pt idx="15">
                  <c:v>387500</c:v>
                </c:pt>
                <c:pt idx="16">
                  <c:v>390000</c:v>
                </c:pt>
                <c:pt idx="17">
                  <c:v>392500</c:v>
                </c:pt>
                <c:pt idx="18">
                  <c:v>395000</c:v>
                </c:pt>
                <c:pt idx="19">
                  <c:v>397500</c:v>
                </c:pt>
                <c:pt idx="20">
                  <c:v>400000</c:v>
                </c:pt>
              </c:numCache>
            </c:numRef>
          </c:yVal>
          <c:smooth val="0"/>
          <c:extLst>
            <c:ext xmlns:c16="http://schemas.microsoft.com/office/drawing/2014/chart" uri="{C3380CC4-5D6E-409C-BE32-E72D297353CC}">
              <c16:uniqueId val="{00000000-40DD-4871-9C56-7E714C8FAEE9}"/>
            </c:ext>
          </c:extLst>
        </c:ser>
        <c:ser>
          <c:idx val="1"/>
          <c:order val="1"/>
          <c:tx>
            <c:strRef>
              <c:f>'LAB_03-1'!$C$8</c:f>
              <c:strCache>
                <c:ptCount val="1"/>
                <c:pt idx="0">
                  <c:v>B</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'LAB_03-1'!$A$9:$A$29</c:f>
              <c:numCache>
                <c:formatCode>General</c:formatCode>
                <c:ptCount val="2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numCache>
            </c:numRef>
          </c:xVal>
          <c:yVal>
            <c:numRef>
              <c:f>'LAB_03-1'!$C$9:$C$29</c:f>
              <c:numCache>
                <c:formatCode>General</c:formatCode>
                <c:ptCount val="21"/>
                <c:pt idx="0">
                  <c:v>170000</c:v>
                </c:pt>
                <c:pt idx="1">
                  <c:v>182500</c:v>
                </c:pt>
                <c:pt idx="2">
                  <c:v>195000</c:v>
                </c:pt>
                <c:pt idx="3">
                  <c:v>207500</c:v>
                </c:pt>
                <c:pt idx="4">
                  <c:v>220000</c:v>
                </c:pt>
                <c:pt idx="5">
                  <c:v>232500</c:v>
                </c:pt>
                <c:pt idx="6">
                  <c:v>245000</c:v>
                </c:pt>
                <c:pt idx="7">
                  <c:v>257500</c:v>
                </c:pt>
                <c:pt idx="8">
                  <c:v>270000</c:v>
                </c:pt>
                <c:pt idx="9">
                  <c:v>282500</c:v>
                </c:pt>
                <c:pt idx="10">
                  <c:v>295000</c:v>
                </c:pt>
                <c:pt idx="11">
                  <c:v>307500</c:v>
                </c:pt>
                <c:pt idx="12">
                  <c:v>320000</c:v>
                </c:pt>
                <c:pt idx="13">
                  <c:v>332500</c:v>
                </c:pt>
                <c:pt idx="14">
                  <c:v>345000</c:v>
                </c:pt>
                <c:pt idx="15">
                  <c:v>357500</c:v>
                </c:pt>
                <c:pt idx="16">
                  <c:v>370000</c:v>
                </c:pt>
                <c:pt idx="17">
                  <c:v>382500</c:v>
                </c:pt>
                <c:pt idx="18">
                  <c:v>395000</c:v>
                </c:pt>
                <c:pt idx="19">
                  <c:v>407500</c:v>
                </c:pt>
                <c:pt idx="20">
                  <c:v>420000</c:v>
                </c:pt>
              </c:numCache>
            </c:numRef>
          </c:yVal>
          <c:smooth val="0"/>
          <c:extLst>
            <c:ext xmlns:c16="http://schemas.microsoft.com/office/drawing/2014/chart" uri="{C3380CC4-5D6E-409C-BE32-E72D297353CC}">
              <c16:uniqueId val="{00000001-40DD-4871-9C56-7E714C8FAEE9}"/>
            </c:ext>
          </c:extLst>
        </c:ser>
        <c:ser>
          <c:idx val="2"/>
          <c:order val="2"/>
          <c:tx>
            <c:strRef>
              <c:f>'LAB_03-1'!$D$8</c:f>
              <c:strCache>
                <c:ptCount val="1"/>
                <c:pt idx="0">
                  <c:v>C</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'LAB_03-1'!$A$9:$A$29</c:f>
              <c:numCache>
                <c:formatCode>General</c:formatCode>
                <c:ptCount val="2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numCache>
            </c:numRef>
          </c:xVal>
          <c:yVal>
            <c:numRef>
              <c:f>'LAB_03-1'!$D$9:$D$29</c:f>
              <c:numCache>
                <c:formatCode>General</c:formatCode>
                <c:ptCount val="21"/>
                <c:pt idx="0">
                  <c:v>100000</c:v>
                </c:pt>
                <c:pt idx="1">
                  <c:v>120000</c:v>
                </c:pt>
                <c:pt idx="2">
                  <c:v>140000</c:v>
                </c:pt>
                <c:pt idx="3">
                  <c:v>160000</c:v>
                </c:pt>
                <c:pt idx="4">
                  <c:v>180000</c:v>
                </c:pt>
                <c:pt idx="5">
                  <c:v>200000</c:v>
                </c:pt>
                <c:pt idx="6">
                  <c:v>220000</c:v>
                </c:pt>
                <c:pt idx="7">
                  <c:v>240000</c:v>
                </c:pt>
                <c:pt idx="8">
                  <c:v>260000</c:v>
                </c:pt>
                <c:pt idx="9">
                  <c:v>280000</c:v>
                </c:pt>
                <c:pt idx="10">
                  <c:v>300000</c:v>
                </c:pt>
                <c:pt idx="11">
                  <c:v>320000</c:v>
                </c:pt>
                <c:pt idx="12">
                  <c:v>340000</c:v>
                </c:pt>
                <c:pt idx="13">
                  <c:v>360000</c:v>
                </c:pt>
                <c:pt idx="14">
                  <c:v>380000</c:v>
                </c:pt>
                <c:pt idx="15">
                  <c:v>400000</c:v>
                </c:pt>
                <c:pt idx="16">
                  <c:v>420000</c:v>
                </c:pt>
                <c:pt idx="17">
                  <c:v>440000</c:v>
                </c:pt>
                <c:pt idx="18">
                  <c:v>460000</c:v>
                </c:pt>
                <c:pt idx="19">
                  <c:v>480000</c:v>
                </c:pt>
                <c:pt idx="20">
                  <c:v>500000</c:v>
                </c:pt>
              </c:numCache>
            </c:numRef>
          </c:yVal>
          <c:smooth val="0"/>
          <c:extLst>
            <c:ext xmlns:c16="http://schemas.microsoft.com/office/drawing/2014/chart" uri="{C3380CC4-5D6E-409C-BE32-E72D297353CC}">
              <c16:uniqueId val="{00000002-40DD-4871-9C56-7E714C8FAEE9}"/>
            </c:ext>
          </c:extLst>
        </c:ser>
        <c:ser>
          <c:idx val="3"/>
          <c:order val="3"/>
          <c:tx>
            <c:strRef>
              <c:f>'LAB_03-1'!$E$8</c:f>
              <c:strCache>
                <c:ptCount val="1"/>
                <c:pt idx="0">
                  <c:v>D</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'LAB_03-1'!$A$9:$A$29</c:f>
              <c:numCache>
                <c:formatCode>General</c:formatCode>
                <c:ptCount val="2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numCache>
            </c:numRef>
          </c:xVal>
          <c:yVal>
            <c:numRef>
              <c:f>'LAB_03-1'!$E$9:$E$29</c:f>
              <c:numCache>
                <c:formatCode>General</c:formatCode>
                <c:ptCount val="21"/>
                <c:pt idx="0">
                  <c:v>250000</c:v>
                </c:pt>
                <c:pt idx="1">
                  <c:v>260000</c:v>
                </c:pt>
                <c:pt idx="2">
                  <c:v>270000</c:v>
                </c:pt>
                <c:pt idx="3">
                  <c:v>280000</c:v>
                </c:pt>
                <c:pt idx="4">
                  <c:v>290000</c:v>
                </c:pt>
                <c:pt idx="5">
                  <c:v>300000</c:v>
                </c:pt>
                <c:pt idx="6">
                  <c:v>310000</c:v>
                </c:pt>
                <c:pt idx="7">
                  <c:v>320000</c:v>
                </c:pt>
                <c:pt idx="8">
                  <c:v>330000</c:v>
                </c:pt>
                <c:pt idx="9">
                  <c:v>340000</c:v>
                </c:pt>
                <c:pt idx="10">
                  <c:v>350000</c:v>
                </c:pt>
                <c:pt idx="11">
                  <c:v>360000</c:v>
                </c:pt>
                <c:pt idx="12">
                  <c:v>370000</c:v>
                </c:pt>
                <c:pt idx="13">
                  <c:v>380000</c:v>
                </c:pt>
                <c:pt idx="14">
                  <c:v>390000</c:v>
                </c:pt>
                <c:pt idx="15">
                  <c:v>400000</c:v>
                </c:pt>
                <c:pt idx="16">
                  <c:v>410000</c:v>
                </c:pt>
                <c:pt idx="17">
                  <c:v>420000</c:v>
                </c:pt>
                <c:pt idx="18">
                  <c:v>430000</c:v>
                </c:pt>
                <c:pt idx="19">
                  <c:v>440000</c:v>
                </c:pt>
                <c:pt idx="20">
                  <c:v>450000</c:v>
                </c:pt>
              </c:numCache>
            </c:numRef>
          </c:yVal>
          <c:smooth val="0"/>
          <c:extLst>
            <c:ext xmlns:c16="http://schemas.microsoft.com/office/drawing/2014/chart" uri="{C3380CC4-5D6E-409C-BE32-E72D297353CC}">
              <c16:uniqueId val="{00000003-40DD-4871-9C56-7E714C8FAEE9}"/>
            </c:ext>
          </c:extLst>
        </c:ser>
        <c:dLbls>
          <c:showLegendKey val="0"/>
          <c:showVal val="0"/>
          <c:showCatName val="0"/>
          <c:showSerName val="0"/>
          <c:showPercent val="0"/>
          <c:showBubbleSize val="0"/>
        </c:dLbls>
        <c:axId val="2129885359"/>
        <c:axId val="2129879951"/>
      </c:scatterChart>
      <c:valAx>
        <c:axId val="2129885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879951"/>
        <c:crosses val="autoZero"/>
        <c:crossBetween val="midCat"/>
      </c:valAx>
      <c:valAx>
        <c:axId val="212987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885359"/>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'LAB_03-2'!$B$7</c:f>
              <c:strCache>
                <c:ptCount val="1"/>
                <c:pt idx="0">
                  <c:v>Akron (TC)</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'LAB_03-2'!$A$8:$A$16</c:f>
              <c:numCache>
                <c:formatCode>General</c:formatCode>
                <c:ptCount val="9"/>
                <c:pt idx="0">
                  <c:v>0</c:v>
                </c:pt>
                <c:pt idx="1">
                  <c:v>500</c:v>
                </c:pt>
                <c:pt idx="2">
                  <c:v>1000</c:v>
                </c:pt>
                <c:pt idx="3">
                  <c:v>1500</c:v>
                </c:pt>
                <c:pt idx="4">
                  <c:v>2000</c:v>
                </c:pt>
                <c:pt idx="5">
                  <c:v>2500</c:v>
                </c:pt>
                <c:pt idx="6">
                  <c:v>3000</c:v>
                </c:pt>
                <c:pt idx="7">
                  <c:v>3500</c:v>
                </c:pt>
                <c:pt idx="8">
                  <c:v>4000</c:v>
                </c:pt>
              </c:numCache>
            </c:numRef>
          </c:xVal>
          <c:yVal>
            <c:numRef>
              <c:f>'LAB_03-2'!$B$8:$B$16</c:f>
              <c:numCache>
                <c:formatCode>General</c:formatCode>
                <c:ptCount val="9"/>
                <c:pt idx="0">
                  <c:v>30000</c:v>
                </c:pt>
                <c:pt idx="1">
                  <c:v>67500</c:v>
                </c:pt>
                <c:pt idx="2">
                  <c:v>105000</c:v>
                </c:pt>
                <c:pt idx="3">
                  <c:v>142500</c:v>
                </c:pt>
                <c:pt idx="4">
                  <c:v>180000</c:v>
                </c:pt>
                <c:pt idx="5">
                  <c:v>217500</c:v>
                </c:pt>
                <c:pt idx="6">
                  <c:v>255000</c:v>
                </c:pt>
                <c:pt idx="7">
                  <c:v>292500</c:v>
                </c:pt>
                <c:pt idx="8">
                  <c:v>330000</c:v>
                </c:pt>
              </c:numCache>
            </c:numRef>
          </c:yVal>
          <c:smooth val="0"/>
          <c:extLst>
            <c:ext xmlns:c16="http://schemas.microsoft.com/office/drawing/2014/chart" uri="{C3380CC4-5D6E-409C-BE32-E72D297353CC}">
              <c16:uniqueId val="{00000000-3831-4848-8C01-436896DA08F7}"/>
            </c:ext>
          </c:extLst>
        </c:ser>
        <c:ser>
          <c:idx val="1"/>
          <c:order val="1"/>
          <c:tx>
            <c:strRef>
              <c:f>'LAB_03-2'!$C$7</c:f>
              <c:strCache>
                <c:ptCount val="1"/>
                <c:pt idx="0">
                  <c:v>Bowling Green (TC)</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'LAB_03-2'!$A$8:$A$16</c:f>
              <c:numCache>
                <c:formatCode>General</c:formatCode>
                <c:ptCount val="9"/>
                <c:pt idx="0">
                  <c:v>0</c:v>
                </c:pt>
                <c:pt idx="1">
                  <c:v>500</c:v>
                </c:pt>
                <c:pt idx="2">
                  <c:v>1000</c:v>
                </c:pt>
                <c:pt idx="3">
                  <c:v>1500</c:v>
                </c:pt>
                <c:pt idx="4">
                  <c:v>2000</c:v>
                </c:pt>
                <c:pt idx="5">
                  <c:v>2500</c:v>
                </c:pt>
                <c:pt idx="6">
                  <c:v>3000</c:v>
                </c:pt>
                <c:pt idx="7">
                  <c:v>3500</c:v>
                </c:pt>
                <c:pt idx="8">
                  <c:v>4000</c:v>
                </c:pt>
              </c:numCache>
            </c:numRef>
          </c:xVal>
          <c:yVal>
            <c:numRef>
              <c:f>'LAB_03-2'!$C$8:$C$16</c:f>
              <c:numCache>
                <c:formatCode>General</c:formatCode>
                <c:ptCount val="9"/>
                <c:pt idx="0">
                  <c:v>60000</c:v>
                </c:pt>
                <c:pt idx="1">
                  <c:v>82500</c:v>
                </c:pt>
                <c:pt idx="2">
                  <c:v>105000</c:v>
                </c:pt>
                <c:pt idx="3">
                  <c:v>127500</c:v>
                </c:pt>
                <c:pt idx="4">
                  <c:v>150000</c:v>
                </c:pt>
                <c:pt idx="5">
                  <c:v>172500</c:v>
                </c:pt>
                <c:pt idx="6">
                  <c:v>195000</c:v>
                </c:pt>
                <c:pt idx="7">
                  <c:v>217500</c:v>
                </c:pt>
                <c:pt idx="8">
                  <c:v>240000</c:v>
                </c:pt>
              </c:numCache>
            </c:numRef>
          </c:yVal>
          <c:smooth val="0"/>
          <c:extLst>
            <c:ext xmlns:c16="http://schemas.microsoft.com/office/drawing/2014/chart" uri="{C3380CC4-5D6E-409C-BE32-E72D297353CC}">
              <c16:uniqueId val="{00000001-3831-4848-8C01-436896DA08F7}"/>
            </c:ext>
          </c:extLst>
        </c:ser>
        <c:ser>
          <c:idx val="2"/>
          <c:order val="2"/>
          <c:tx>
            <c:strRef>
              <c:f>'LAB_03-2'!$D$7</c:f>
              <c:strCache>
                <c:ptCount val="1"/>
                <c:pt idx="0">
                  <c:v>Chicago (TC)</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'LAB_03-2'!$A$8:$A$16</c:f>
              <c:numCache>
                <c:formatCode>General</c:formatCode>
                <c:ptCount val="9"/>
                <c:pt idx="0">
                  <c:v>0</c:v>
                </c:pt>
                <c:pt idx="1">
                  <c:v>500</c:v>
                </c:pt>
                <c:pt idx="2">
                  <c:v>1000</c:v>
                </c:pt>
                <c:pt idx="3">
                  <c:v>1500</c:v>
                </c:pt>
                <c:pt idx="4">
                  <c:v>2000</c:v>
                </c:pt>
                <c:pt idx="5">
                  <c:v>2500</c:v>
                </c:pt>
                <c:pt idx="6">
                  <c:v>3000</c:v>
                </c:pt>
                <c:pt idx="7">
                  <c:v>3500</c:v>
                </c:pt>
                <c:pt idx="8">
                  <c:v>4000</c:v>
                </c:pt>
              </c:numCache>
            </c:numRef>
          </c:xVal>
          <c:yVal>
            <c:numRef>
              <c:f>'LAB_03-2'!$D$8:$D$16</c:f>
              <c:numCache>
                <c:formatCode>General</c:formatCode>
                <c:ptCount val="9"/>
                <c:pt idx="0">
                  <c:v>110000</c:v>
                </c:pt>
                <c:pt idx="1">
                  <c:v>122500</c:v>
                </c:pt>
                <c:pt idx="2">
                  <c:v>135000</c:v>
                </c:pt>
                <c:pt idx="3">
                  <c:v>147500</c:v>
                </c:pt>
                <c:pt idx="4">
                  <c:v>160000</c:v>
                </c:pt>
                <c:pt idx="5">
                  <c:v>172500</c:v>
                </c:pt>
                <c:pt idx="6">
                  <c:v>185000</c:v>
                </c:pt>
                <c:pt idx="7">
                  <c:v>197500</c:v>
                </c:pt>
                <c:pt idx="8">
                  <c:v>210000</c:v>
                </c:pt>
              </c:numCache>
            </c:numRef>
          </c:yVal>
          <c:smooth val="0"/>
          <c:extLst>
            <c:ext xmlns:c16="http://schemas.microsoft.com/office/drawing/2014/chart" uri="{C3380CC4-5D6E-409C-BE32-E72D297353CC}">
              <c16:uniqueId val="{00000002-3831-4848-8C01-436896DA08F7}"/>
            </c:ext>
          </c:extLst>
        </c:ser>
        <c:dLbls>
          <c:showLegendKey val="0"/>
          <c:showVal val="0"/>
          <c:showCatName val="0"/>
          <c:showSerName val="0"/>
          <c:showPercent val="0"/>
          <c:showBubbleSize val="0"/>
        </c:dLbls>
        <c:axId val="2126661823"/>
        <c:axId val="2126656415"/>
      </c:scatterChart>
      <c:valAx>
        <c:axId val="21266618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656415"/>
        <c:crosses val="autoZero"/>
        <c:crossBetween val="midCat"/>
      </c:valAx>
      <c:valAx>
        <c:axId val="2126656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661823"/>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3</xdr:col>
      <xdr:colOff>547687</xdr:colOff>
      <xdr:row>0</xdr:row>
      <xdr:rowOff>0</xdr:rowOff>
    </xdr:from>
    <xdr:to>
      <xdr:col>9</xdr:col>
      <xdr:colOff>2970</xdr:colOff>
      <xdr:row>7</xdr:row>
      <xdr:rowOff>127000</xdr:rowOff>
    </xdr:to>
    <xdr:pic>
      <xdr:nvPicPr>
        <xdr:cNvPr id="2" name="Picture 1">
          <a:extLst>
            <a:ext uri="{FF2B5EF4-FFF2-40B4-BE49-F238E27FC236}">
              <a16:creationId xmlns:a16="http://schemas.microsoft.com/office/drawing/2014/main" id="{E2B26172-C347-4D72-A72E-BE20F39E419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76487" y="0"/>
          <a:ext cx="4217783" cy="1460500"/>
        </a:xfrm>
        <a:prstGeom prst="rect">
          <a:avLst/>
        </a:prstGeom>
      </xdr:spPr>
    </xdr:pic>
    <xdr:clientData/>
  </xdr:twoCellAnchor>
  <xdr:twoCellAnchor>
    <xdr:from>
      <xdr:col>12</xdr:col>
      <xdr:colOff>83343</xdr:colOff>
      <xdr:row>1</xdr:row>
      <xdr:rowOff>59531</xdr:rowOff>
    </xdr:from>
    <xdr:to>
      <xdr:col>20</xdr:col>
      <xdr:colOff>476250</xdr:colOff>
      <xdr:row>4</xdr:row>
      <xdr:rowOff>35719</xdr:rowOff>
    </xdr:to>
    <xdr:sp macro="" textlink="">
      <xdr:nvSpPr>
        <xdr:cNvPr id="3" name="TextBox 2">
          <a:extLst>
            <a:ext uri="{FF2B5EF4-FFF2-40B4-BE49-F238E27FC236}">
              <a16:creationId xmlns:a16="http://schemas.microsoft.com/office/drawing/2014/main" id="{A3CB1020-3111-41CF-A5F3-CF4B695DE87E}"/>
            </a:ext>
          </a:extLst>
        </xdr:cNvPr>
        <xdr:cNvSpPr txBox="1"/>
      </xdr:nvSpPr>
      <xdr:spPr>
        <a:xfrm>
          <a:off x="8503443" y="250031"/>
          <a:ext cx="6374607" cy="5476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a.</a:t>
          </a:r>
          <a:r>
            <a:rPr lang="en-US" sz="1200" baseline="0"/>
            <a:t> Using the factor ratings shown below, determine which location alternative should be chosen on the basis of maximum composite score.</a:t>
          </a:r>
        </a:p>
        <a:p>
          <a:endParaRPr lang="en-PK" sz="1100"/>
        </a:p>
      </xdr:txBody>
    </xdr:sp>
    <xdr:clientData/>
  </xdr:twoCellAnchor>
  <xdr:twoCellAnchor>
    <xdr:from>
      <xdr:col>21</xdr:col>
      <xdr:colOff>83343</xdr:colOff>
      <xdr:row>0</xdr:row>
      <xdr:rowOff>130968</xdr:rowOff>
    </xdr:from>
    <xdr:to>
      <xdr:col>31</xdr:col>
      <xdr:colOff>369094</xdr:colOff>
      <xdr:row>24</xdr:row>
      <xdr:rowOff>158750</xdr:rowOff>
    </xdr:to>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3F856A5-ACFB-49C1-BC91-6207A9FD81A1}"/>
                </a:ext>
              </a:extLst>
            </xdr:cNvPr>
            <xdr:cNvSpPr txBox="1"/>
          </xdr:nvSpPr>
          <xdr:spPr>
            <a:xfrm>
              <a:off x="15094743" y="130968"/>
              <a:ext cx="7486651" cy="45997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b. If transportation costs and</a:t>
              </a:r>
              <a:r>
                <a:rPr lang="en-US" sz="1200" baseline="0"/>
                <a:t> operating costs are given weights that are double the weights of the others, should the locations be ranked differently?</a:t>
              </a:r>
            </a:p>
            <a:p>
              <a:r>
                <a:rPr lang="en-US" sz="1200" i="1"/>
                <a:t>Solution:</a:t>
              </a:r>
            </a:p>
            <a:p>
              <a:endParaRPr lang="en-US" sz="1200"/>
            </a:p>
            <a:p>
              <a:r>
                <a:rPr lang="en-US" sz="1200"/>
                <a:t>Let the weight of the other factors</a:t>
              </a:r>
              <a:r>
                <a:rPr lang="en-US" sz="1200" baseline="0"/>
                <a:t> be </a:t>
              </a:r>
              <a14:m>
                <m:oMath xmlns:m="http://schemas.openxmlformats.org/officeDocument/2006/math">
                  <m:r>
                    <a:rPr lang="en-US" sz="1200" b="0" i="1" baseline="0">
                      <a:latin typeface="Cambria Math" panose="02040503050406030204" pitchFamily="18" charset="0"/>
                    </a:rPr>
                    <m:t>𝑤</m:t>
                  </m:r>
                </m:oMath>
              </a14:m>
              <a:r>
                <a:rPr lang="en-US" sz="1200"/>
                <a:t>.</a:t>
              </a:r>
            </a:p>
            <a:p>
              <a:r>
                <a:rPr lang="en-US" sz="1200"/>
                <a:t>Weights:</a:t>
              </a:r>
            </a:p>
            <a:p>
              <a:r>
                <a:rPr lang="en-US" sz="1200"/>
                <a:t>1. Easy access:</a:t>
              </a:r>
              <a:r>
                <a:rPr lang="en-US" sz="1200" baseline="0"/>
                <a:t> w</a:t>
              </a:r>
            </a:p>
            <a:p>
              <a:r>
                <a:rPr lang="en-US" sz="1200" baseline="0"/>
                <a:t>2. Parking facilities: w</a:t>
              </a:r>
            </a:p>
            <a:p>
              <a:r>
                <a:rPr lang="en-US" sz="1200" baseline="0"/>
                <a:t>3. Display area: w</a:t>
              </a:r>
            </a:p>
            <a:p>
              <a:r>
                <a:rPr lang="en-US" sz="1200" baseline="0"/>
                <a:t>4. Shopper traffic: w</a:t>
              </a:r>
            </a:p>
            <a:p>
              <a:r>
                <a:rPr lang="en-US" sz="1200" baseline="0"/>
                <a:t>5. Transportation costs: 2w</a:t>
              </a:r>
            </a:p>
            <a:p>
              <a:r>
                <a:rPr lang="en-US" sz="1200" baseline="0"/>
                <a:t>6. Operating costs: 2w</a:t>
              </a:r>
            </a:p>
            <a:p>
              <a:endParaRPr lang="en-US" sz="1200"/>
            </a:p>
            <a:p>
              <a:r>
                <a:rPr lang="en-US" sz="1200"/>
                <a:t>The sum of all weights must be 1.</a:t>
              </a:r>
            </a:p>
            <a:p>
              <a:r>
                <a:rPr lang="en-US" sz="1200"/>
                <a:t>w+w+w+w+2w+2w=1</a:t>
              </a:r>
            </a:p>
            <a:p>
              <a:endParaRPr lang="en-US" sz="1200"/>
            </a:p>
            <a:p>
              <a:r>
                <a:rPr lang="en-US" sz="1200"/>
                <a:t>4w+4w=1</a:t>
              </a:r>
            </a:p>
            <a:p>
              <a:r>
                <a:rPr lang="en-US" sz="1200"/>
                <a:t>8w=1</a:t>
              </a:r>
            </a:p>
            <a:p>
              <a:pPr/>
              <a14:m>
                <m:oMathPara xmlns:m="http://schemas.openxmlformats.org/officeDocument/2006/math">
                  <m:oMathParaPr>
                    <m:jc m:val="centerGroup"/>
                  </m:oMathParaPr>
                  <m:oMath xmlns:m="http://schemas.openxmlformats.org/officeDocument/2006/math">
                    <m:r>
                      <a:rPr lang="en-US" sz="1200" b="0" i="1">
                        <a:latin typeface="Cambria Math" panose="02040503050406030204" pitchFamily="18" charset="0"/>
                      </a:rPr>
                      <m:t>𝑤</m:t>
                    </m:r>
                    <m:r>
                      <a:rPr lang="en-US" sz="1200" b="0" i="1">
                        <a:latin typeface="Cambria Math" panose="02040503050406030204" pitchFamily="18" charset="0"/>
                      </a:rPr>
                      <m:t>=</m:t>
                    </m:r>
                    <m:f>
                      <m:fPr>
                        <m:ctrlPr>
                          <a:rPr lang="en-US" sz="1200" b="0" i="1">
                            <a:latin typeface="Cambria Math" panose="02040503050406030204" pitchFamily="18" charset="0"/>
                          </a:rPr>
                        </m:ctrlPr>
                      </m:fPr>
                      <m:num>
                        <m:r>
                          <a:rPr lang="en-US" sz="1200" b="0" i="1">
                            <a:latin typeface="Cambria Math" panose="02040503050406030204" pitchFamily="18" charset="0"/>
                          </a:rPr>
                          <m:t>1</m:t>
                        </m:r>
                      </m:num>
                      <m:den>
                        <m:r>
                          <a:rPr lang="en-US" sz="1200" b="0" i="1">
                            <a:latin typeface="Cambria Math" panose="02040503050406030204" pitchFamily="18" charset="0"/>
                          </a:rPr>
                          <m:t>8</m:t>
                        </m:r>
                      </m:den>
                    </m:f>
                    <m:r>
                      <a:rPr lang="en-US" sz="1200" b="0" i="1">
                        <a:latin typeface="Cambria Math" panose="02040503050406030204" pitchFamily="18" charset="0"/>
                      </a:rPr>
                      <m:t>=0.125</m:t>
                    </m:r>
                  </m:oMath>
                </m:oMathPara>
              </a14:m>
              <a:endParaRPr lang="en-US" sz="1200" b="0"/>
            </a:p>
            <a:p>
              <a:r>
                <a:rPr lang="en-US" sz="1200"/>
                <a:t>The</a:t>
              </a:r>
              <a:r>
                <a:rPr lang="en-US" sz="1200" baseline="0"/>
                <a:t> new weights are:</a:t>
              </a:r>
            </a:p>
            <a:p>
              <a:pPr/>
              <a14:m>
                <m:oMathPara xmlns:m="http://schemas.openxmlformats.org/officeDocument/2006/math">
                  <m:oMathParaPr>
                    <m:jc m:val="centerGroup"/>
                  </m:oMathParaPr>
                  <m:oMath xmlns:m="http://schemas.openxmlformats.org/officeDocument/2006/math">
                    <m:r>
                      <a:rPr lang="en-US" sz="1200" i="1" baseline="0">
                        <a:latin typeface="Cambria Math" panose="02040503050406030204" pitchFamily="18" charset="0"/>
                      </a:rPr>
                      <m:t>𝐹𝑜𝑢𝑟</m:t>
                    </m:r>
                    <m:r>
                      <a:rPr lang="en-US" sz="1200" i="1" baseline="0">
                        <a:latin typeface="Cambria Math" panose="02040503050406030204" pitchFamily="18" charset="0"/>
                      </a:rPr>
                      <m:t> </m:t>
                    </m:r>
                    <m:r>
                      <a:rPr lang="en-US" sz="1200" i="1" baseline="0">
                        <a:latin typeface="Cambria Math" panose="02040503050406030204" pitchFamily="18" charset="0"/>
                      </a:rPr>
                      <m:t>𝑓𝑎𝑐𝑡𝑜𝑟𝑠</m:t>
                    </m:r>
                    <m:r>
                      <a:rPr lang="en-US" sz="1200" i="1" baseline="0">
                        <a:latin typeface="Cambria Math" panose="02040503050406030204" pitchFamily="18" charset="0"/>
                      </a:rPr>
                      <m:t> @ 0.125</m:t>
                    </m:r>
                  </m:oMath>
                </m:oMathPara>
              </a14:m>
              <a:endParaRPr lang="en-US" sz="1200" baseline="0"/>
            </a:p>
            <a:p>
              <a:pPr/>
              <a14:m>
                <m:oMathPara xmlns:m="http://schemas.openxmlformats.org/officeDocument/2006/math">
                  <m:oMathParaPr>
                    <m:jc m:val="centerGroup"/>
                  </m:oMathParaPr>
                  <m:oMath xmlns:m="http://schemas.openxmlformats.org/officeDocument/2006/math">
                    <m:r>
                      <a:rPr lang="en-US" sz="1200" i="1" baseline="0">
                        <a:latin typeface="Cambria Math" panose="02040503050406030204" pitchFamily="18" charset="0"/>
                      </a:rPr>
                      <m:t>𝑇𝑤𝑜</m:t>
                    </m:r>
                    <m:r>
                      <a:rPr lang="en-US" sz="1200" i="1" baseline="0">
                        <a:latin typeface="Cambria Math" panose="02040503050406030204" pitchFamily="18" charset="0"/>
                      </a:rPr>
                      <m:t> </m:t>
                    </m:r>
                    <m:r>
                      <a:rPr lang="en-US" sz="1200" i="1" baseline="0">
                        <a:latin typeface="Cambria Math" panose="02040503050406030204" pitchFamily="18" charset="0"/>
                      </a:rPr>
                      <m:t>𝑓𝑎𝑐𝑡𝑜𝑟𝑠</m:t>
                    </m:r>
                    <m:r>
                      <a:rPr lang="en-US" sz="1200" i="1" baseline="0">
                        <a:latin typeface="Cambria Math" panose="02040503050406030204" pitchFamily="18" charset="0"/>
                      </a:rPr>
                      <m:t> @ 2</m:t>
                    </m:r>
                    <m:r>
                      <a:rPr lang="en-US" sz="1200" i="1" baseline="0">
                        <a:latin typeface="Cambria Math" panose="02040503050406030204" pitchFamily="18" charset="0"/>
                      </a:rPr>
                      <m:t>𝑤</m:t>
                    </m:r>
                    <m:r>
                      <a:rPr lang="en-US" sz="1200" i="1" baseline="0">
                        <a:latin typeface="Cambria Math" panose="02040503050406030204" pitchFamily="18" charset="0"/>
                      </a:rPr>
                      <m:t>=0.25</m:t>
                    </m:r>
                  </m:oMath>
                </m:oMathPara>
              </a14:m>
              <a:endParaRPr lang="en-US" sz="1200"/>
            </a:p>
            <a:p>
              <a:endParaRPr lang="en-US" sz="1100"/>
            </a:p>
          </xdr:txBody>
        </xdr:sp>
      </mc:Choice>
      <mc:Fallback xmlns="">
        <xdr:sp macro="" textlink="">
          <xdr:nvSpPr>
            <xdr:cNvPr id="4" name="TextBox 3">
              <a:extLst>
                <a:ext uri="{FF2B5EF4-FFF2-40B4-BE49-F238E27FC236}">
                  <a16:creationId xmlns:a16="http://schemas.microsoft.com/office/drawing/2014/main" id="{23F856A5-ACFB-49C1-BC91-6207A9FD81A1}"/>
                </a:ext>
              </a:extLst>
            </xdr:cNvPr>
            <xdr:cNvSpPr txBox="1"/>
          </xdr:nvSpPr>
          <xdr:spPr>
            <a:xfrm>
              <a:off x="15094743" y="130968"/>
              <a:ext cx="7486651" cy="45997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b. If transportation costs and</a:t>
              </a:r>
              <a:r>
                <a:rPr lang="en-US" sz="1200" baseline="0"/>
                <a:t> operating costs are given weights that are double the weights of the others, should the locations be ranked differently?</a:t>
              </a:r>
            </a:p>
            <a:p>
              <a:r>
                <a:rPr lang="en-US" sz="1200" i="1"/>
                <a:t>Solution:</a:t>
              </a:r>
            </a:p>
            <a:p>
              <a:endParaRPr lang="en-US" sz="1200"/>
            </a:p>
            <a:p>
              <a:r>
                <a:rPr lang="en-US" sz="1200"/>
                <a:t>Let the weight of the other factors</a:t>
              </a:r>
              <a:r>
                <a:rPr lang="en-US" sz="1200" baseline="0"/>
                <a:t> be </a:t>
              </a:r>
              <a:r>
                <a:rPr lang="en-US" sz="1200" b="0" i="0" baseline="0">
                  <a:latin typeface="Cambria Math" panose="02040503050406030204" pitchFamily="18" charset="0"/>
                </a:rPr>
                <a:t>𝑤</a:t>
              </a:r>
              <a:r>
                <a:rPr lang="en-US" sz="1200"/>
                <a:t>.</a:t>
              </a:r>
            </a:p>
            <a:p>
              <a:r>
                <a:rPr lang="en-US" sz="1200"/>
                <a:t>Weights:</a:t>
              </a:r>
            </a:p>
            <a:p>
              <a:r>
                <a:rPr lang="en-US" sz="1200"/>
                <a:t>1. Easy access:</a:t>
              </a:r>
              <a:r>
                <a:rPr lang="en-US" sz="1200" baseline="0"/>
                <a:t> w</a:t>
              </a:r>
            </a:p>
            <a:p>
              <a:r>
                <a:rPr lang="en-US" sz="1200" baseline="0"/>
                <a:t>2. Parking facilities: w</a:t>
              </a:r>
            </a:p>
            <a:p>
              <a:r>
                <a:rPr lang="en-US" sz="1200" baseline="0"/>
                <a:t>3. Display area: w</a:t>
              </a:r>
            </a:p>
            <a:p>
              <a:r>
                <a:rPr lang="en-US" sz="1200" baseline="0"/>
                <a:t>4. Shopper traffic: w</a:t>
              </a:r>
            </a:p>
            <a:p>
              <a:r>
                <a:rPr lang="en-US" sz="1200" baseline="0"/>
                <a:t>5. Transportation costs: 2w</a:t>
              </a:r>
            </a:p>
            <a:p>
              <a:r>
                <a:rPr lang="en-US" sz="1200" baseline="0"/>
                <a:t>6. Operating costs: 2w</a:t>
              </a:r>
            </a:p>
            <a:p>
              <a:endParaRPr lang="en-US" sz="1200"/>
            </a:p>
            <a:p>
              <a:r>
                <a:rPr lang="en-US" sz="1200"/>
                <a:t>The sum of all weights must be 1.</a:t>
              </a:r>
            </a:p>
            <a:p>
              <a:r>
                <a:rPr lang="en-US" sz="1200"/>
                <a:t>w+w+w+w+2w+2w=1</a:t>
              </a:r>
            </a:p>
            <a:p>
              <a:endParaRPr lang="en-US" sz="1200"/>
            </a:p>
            <a:p>
              <a:r>
                <a:rPr lang="en-US" sz="1200"/>
                <a:t>4w+4w=1</a:t>
              </a:r>
            </a:p>
            <a:p>
              <a:r>
                <a:rPr lang="en-US" sz="1200"/>
                <a:t>8w=1</a:t>
              </a:r>
            </a:p>
            <a:p>
              <a:pPr/>
              <a:r>
                <a:rPr lang="en-US" sz="1200" b="0" i="0">
                  <a:latin typeface="Cambria Math" panose="02040503050406030204" pitchFamily="18" charset="0"/>
                </a:rPr>
                <a:t>𝑤=1/8=0.125</a:t>
              </a:r>
              <a:endParaRPr lang="en-US" sz="1200" b="0"/>
            </a:p>
            <a:p>
              <a:r>
                <a:rPr lang="en-US" sz="1200"/>
                <a:t>The</a:t>
              </a:r>
              <a:r>
                <a:rPr lang="en-US" sz="1200" baseline="0"/>
                <a:t> new weights are:</a:t>
              </a:r>
            </a:p>
            <a:p>
              <a:pPr/>
              <a:r>
                <a:rPr lang="en-US" sz="1200" i="0" baseline="0">
                  <a:latin typeface="Cambria Math" panose="02040503050406030204" pitchFamily="18" charset="0"/>
                </a:rPr>
                <a:t>𝐹𝑜𝑢𝑟 𝑓𝑎𝑐𝑡𝑜𝑟𝑠 @ 0.125</a:t>
              </a:r>
              <a:endParaRPr lang="en-US" sz="1200" baseline="0"/>
            </a:p>
            <a:p>
              <a:pPr/>
              <a:r>
                <a:rPr lang="en-US" sz="1200" i="0" baseline="0">
                  <a:latin typeface="Cambria Math" panose="02040503050406030204" pitchFamily="18" charset="0"/>
                </a:rPr>
                <a:t>𝑇𝑤𝑜 𝑓𝑎𝑐𝑡𝑜𝑟𝑠 @ 2𝑤=0.25</a:t>
              </a:r>
              <a:endParaRPr lang="en-US" sz="1200"/>
            </a:p>
            <a:p>
              <a:endParaRPr lang="en-US" sz="1100"/>
            </a:p>
          </xdr:txBody>
        </xdr:sp>
      </mc:Fallback>
    </mc:AlternateContent>
    <xdr:clientData/>
  </xdr:twoCellAnchor>
  <xdr:twoCellAnchor>
    <xdr:from>
      <xdr:col>1</xdr:col>
      <xdr:colOff>95250</xdr:colOff>
      <xdr:row>22</xdr:row>
      <xdr:rowOff>95250</xdr:rowOff>
    </xdr:from>
    <xdr:to>
      <xdr:col>9</xdr:col>
      <xdr:colOff>539750</xdr:colOff>
      <xdr:row>35</xdr:row>
      <xdr:rowOff>127000</xdr:rowOff>
    </xdr:to>
    <xdr:sp macro="" textlink="">
      <xdr:nvSpPr>
        <xdr:cNvPr id="5" name="TextBox 4">
          <a:extLst>
            <a:ext uri="{FF2B5EF4-FFF2-40B4-BE49-F238E27FC236}">
              <a16:creationId xmlns:a16="http://schemas.microsoft.com/office/drawing/2014/main" id="{3B211972-9B4B-4610-B154-727059E45798}"/>
            </a:ext>
          </a:extLst>
        </xdr:cNvPr>
        <xdr:cNvSpPr txBox="1"/>
      </xdr:nvSpPr>
      <xdr:spPr>
        <a:xfrm>
          <a:off x="704850" y="4286250"/>
          <a:ext cx="6426200" cy="2508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i="1">
              <a:latin typeface="Times New Roman" panose="02020603050405020304" pitchFamily="18" charset="0"/>
              <a:cs typeface="Times New Roman" panose="02020603050405020304" pitchFamily="18" charset="0"/>
            </a:rPr>
            <a:t>By:</a:t>
          </a:r>
        </a:p>
        <a:p>
          <a:r>
            <a:rPr lang="en-US" sz="1100" i="1">
              <a:latin typeface="Times New Roman" panose="02020603050405020304" pitchFamily="18" charset="0"/>
              <a:cs typeface="Times New Roman" panose="02020603050405020304" pitchFamily="18" charset="0"/>
            </a:rPr>
            <a:t>BSIE Mohammad Abubakar</a:t>
          </a:r>
          <a:r>
            <a:rPr lang="en-US" sz="1100" i="1" baseline="0">
              <a:latin typeface="Times New Roman" panose="02020603050405020304" pitchFamily="18" charset="0"/>
              <a:cs typeface="Times New Roman" panose="02020603050405020304" pitchFamily="18" charset="0"/>
            </a:rPr>
            <a:t> Atiq</a:t>
          </a:r>
        </a:p>
        <a:p>
          <a:r>
            <a:rPr lang="en-US" sz="1100" i="1" baseline="0">
              <a:latin typeface="Times New Roman" panose="02020603050405020304" pitchFamily="18" charset="0"/>
              <a:cs typeface="Times New Roman" panose="02020603050405020304" pitchFamily="18" charset="0"/>
            </a:rPr>
            <a:t>F2022031002 EF431 Industrial Facilities Design</a:t>
          </a:r>
        </a:p>
        <a:p>
          <a:r>
            <a:rPr lang="en-US" sz="1100" i="1" baseline="0">
              <a:latin typeface="Times New Roman" panose="02020603050405020304" pitchFamily="18" charset="0"/>
              <a:cs typeface="Times New Roman" panose="02020603050405020304" pitchFamily="18" charset="0"/>
            </a:rPr>
            <a:t>To:</a:t>
          </a:r>
        </a:p>
        <a:p>
          <a:r>
            <a:rPr lang="en-US" sz="1100" i="1" baseline="0">
              <a:latin typeface="Times New Roman" panose="02020603050405020304" pitchFamily="18" charset="0"/>
              <a:cs typeface="Times New Roman" panose="02020603050405020304" pitchFamily="18" charset="0"/>
            </a:rPr>
            <a:t>Sir Rehan Ashraf</a:t>
          </a:r>
        </a:p>
        <a:p>
          <a:endParaRPr lang="en-PK" sz="1100" i="1">
            <a:latin typeface="Times New Roman" panose="02020603050405020304" pitchFamily="18" charset="0"/>
            <a:cs typeface="Times New Roman" panose="02020603050405020304" pitchFamily="18" charset="0"/>
          </a:endParaRPr>
        </a:p>
      </xdr:txBody>
    </xdr:sp>
    <xdr:clientData/>
  </xdr:twoCellAnchor>
  <xdr:twoCellAnchor>
    <xdr:from>
      <xdr:col>32</xdr:col>
      <xdr:colOff>357188</xdr:colOff>
      <xdr:row>0</xdr:row>
      <xdr:rowOff>83344</xdr:rowOff>
    </xdr:from>
    <xdr:to>
      <xdr:col>42</xdr:col>
      <xdr:colOff>214313</xdr:colOff>
      <xdr:row>6</xdr:row>
      <xdr:rowOff>130969</xdr:rowOff>
    </xdr:to>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642EFF48-EF0F-4483-BB9E-C0D0EB528184}"/>
                </a:ext>
              </a:extLst>
            </xdr:cNvPr>
            <xdr:cNvSpPr txBox="1"/>
          </xdr:nvSpPr>
          <xdr:spPr>
            <a:xfrm>
              <a:off x="23179088" y="83344"/>
              <a:ext cx="7058025" cy="119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c. If the manager weights the factors equally, how would</a:t>
              </a:r>
              <a:r>
                <a:rPr lang="en-US" sz="1200" baseline="0"/>
                <a:t> the locations be ranked?</a:t>
              </a:r>
            </a:p>
            <a:p>
              <a:r>
                <a:rPr lang="en-US" sz="1200" baseline="0"/>
                <a:t>If all 6 factors are weighted equally, each factor has a weight of </a:t>
              </a:r>
              <a14:m>
                <m:oMath xmlns:m="http://schemas.openxmlformats.org/officeDocument/2006/math">
                  <m:f>
                    <m:fPr>
                      <m:ctrlPr>
                        <a:rPr lang="en-US" sz="2000" b="0" i="1" baseline="0">
                          <a:latin typeface="Cambria Math" panose="02040503050406030204" pitchFamily="18" charset="0"/>
                        </a:rPr>
                      </m:ctrlPr>
                    </m:fPr>
                    <m:num>
                      <m:r>
                        <a:rPr lang="en-US" sz="2000" b="0" i="1" baseline="0">
                          <a:latin typeface="Cambria Math" panose="02040503050406030204" pitchFamily="18" charset="0"/>
                        </a:rPr>
                        <m:t>1</m:t>
                      </m:r>
                    </m:num>
                    <m:den>
                      <m:r>
                        <a:rPr lang="en-US" sz="2000" b="0" i="1" baseline="0">
                          <a:latin typeface="Cambria Math" panose="02040503050406030204" pitchFamily="18" charset="0"/>
                        </a:rPr>
                        <m:t>6</m:t>
                      </m:r>
                    </m:den>
                  </m:f>
                </m:oMath>
              </a14:m>
              <a:r>
                <a:rPr lang="en-US" sz="1200"/>
                <a:t>. To find</a:t>
              </a:r>
              <a:r>
                <a:rPr lang="en-US" sz="1200" baseline="0"/>
                <a:t> the ranking, we can sim,ply sum the raw scores for each location. The location with the highest total score will be ranked first.</a:t>
              </a:r>
              <a:endParaRPr lang="en-PK" sz="1200"/>
            </a:p>
          </xdr:txBody>
        </xdr:sp>
      </mc:Choice>
      <mc:Fallback xmlns="">
        <xdr:sp macro="" textlink="">
          <xdr:nvSpPr>
            <xdr:cNvPr id="6" name="TextBox 5">
              <a:extLst>
                <a:ext uri="{FF2B5EF4-FFF2-40B4-BE49-F238E27FC236}">
                  <a16:creationId xmlns:a16="http://schemas.microsoft.com/office/drawing/2014/main" id="{642EFF48-EF0F-4483-BB9E-C0D0EB528184}"/>
                </a:ext>
              </a:extLst>
            </xdr:cNvPr>
            <xdr:cNvSpPr txBox="1"/>
          </xdr:nvSpPr>
          <xdr:spPr>
            <a:xfrm>
              <a:off x="23179088" y="83344"/>
              <a:ext cx="7058025" cy="119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c. If the manager weights the factors equally, how would</a:t>
              </a:r>
              <a:r>
                <a:rPr lang="en-US" sz="1200" baseline="0"/>
                <a:t> the locations be ranked?</a:t>
              </a:r>
            </a:p>
            <a:p>
              <a:r>
                <a:rPr lang="en-US" sz="1200" baseline="0"/>
                <a:t>If all 6 factors are weighted equally, each factor has a weight of </a:t>
              </a:r>
              <a:r>
                <a:rPr lang="en-US" sz="2000" b="0" i="0" baseline="0">
                  <a:latin typeface="Cambria Math" panose="02040503050406030204" pitchFamily="18" charset="0"/>
                </a:rPr>
                <a:t>1/6</a:t>
              </a:r>
              <a:r>
                <a:rPr lang="en-US" sz="1200"/>
                <a:t>. To find</a:t>
              </a:r>
              <a:r>
                <a:rPr lang="en-US" sz="1200" baseline="0"/>
                <a:t> the ranking, we can sim,ply sum the raw scores for each location. The location with the highest total score will be ranked first.</a:t>
              </a:r>
              <a:endParaRPr lang="en-PK" sz="12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581025</xdr:colOff>
      <xdr:row>5</xdr:row>
      <xdr:rowOff>123825</xdr:rowOff>
    </xdr:from>
    <xdr:to>
      <xdr:col>8</xdr:col>
      <xdr:colOff>552450</xdr:colOff>
      <xdr:row>12</xdr:row>
      <xdr:rowOff>19050</xdr:rowOff>
    </xdr:to>
    <xdr:sp macro="" textlink="">
      <xdr:nvSpPr>
        <xdr:cNvPr id="2" name="TextBox 1">
          <a:extLst>
            <a:ext uri="{FF2B5EF4-FFF2-40B4-BE49-F238E27FC236}">
              <a16:creationId xmlns:a16="http://schemas.microsoft.com/office/drawing/2014/main" id="{5341C351-CEE3-46E6-9174-7A055FBBBC26}"/>
            </a:ext>
          </a:extLst>
        </xdr:cNvPr>
        <xdr:cNvSpPr txBox="1"/>
      </xdr:nvSpPr>
      <xdr:spPr>
        <a:xfrm>
          <a:off x="1190625" y="1076325"/>
          <a:ext cx="4448175" cy="122872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solidFill>
                <a:sysClr val="windowText" lastClr="000000"/>
              </a:solidFill>
              <a:latin typeface="Times New Roman" panose="02020603050405020304" pitchFamily="18" charset="0"/>
              <a:cs typeface="Times New Roman" panose="02020603050405020304" pitchFamily="18" charset="0"/>
            </a:rPr>
            <a:t>(LAB)</a:t>
          </a:r>
        </a:p>
        <a:p>
          <a:pPr algn="ctr"/>
          <a:endParaRPr lang="en-US" sz="2000">
            <a:solidFill>
              <a:sysClr val="windowText" lastClr="000000"/>
            </a:solidFill>
            <a:latin typeface="Times New Roman" panose="02020603050405020304" pitchFamily="18" charset="0"/>
            <a:cs typeface="Times New Roman" panose="02020603050405020304" pitchFamily="18" charset="0"/>
          </a:endParaRPr>
        </a:p>
        <a:p>
          <a:pPr algn="ctr"/>
          <a:r>
            <a:rPr lang="en-US" sz="2000">
              <a:solidFill>
                <a:sysClr val="windowText" lastClr="000000"/>
              </a:solidFill>
              <a:latin typeface="Times New Roman" panose="02020603050405020304" pitchFamily="18" charset="0"/>
              <a:cs typeface="Times New Roman" panose="02020603050405020304" pitchFamily="18" charset="0"/>
            </a:rPr>
            <a:t>EF431 Industrial Facilities Design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xdr:colOff>
      <xdr:row>1</xdr:row>
      <xdr:rowOff>0</xdr:rowOff>
    </xdr:from>
    <xdr:to>
      <xdr:col>10</xdr:col>
      <xdr:colOff>800100</xdr:colOff>
      <xdr:row>9</xdr:row>
      <xdr:rowOff>152400</xdr:rowOff>
    </xdr:to>
    <xdr:sp macro="" textlink="">
      <xdr:nvSpPr>
        <xdr:cNvPr id="2" name="TextBox 1">
          <a:extLst>
            <a:ext uri="{FF2B5EF4-FFF2-40B4-BE49-F238E27FC236}">
              <a16:creationId xmlns:a16="http://schemas.microsoft.com/office/drawing/2014/main" id="{D066F0FF-761A-45B6-9CF6-5DCF8BE5B843}"/>
            </a:ext>
          </a:extLst>
        </xdr:cNvPr>
        <xdr:cNvSpPr txBox="1"/>
      </xdr:nvSpPr>
      <xdr:spPr>
        <a:xfrm>
          <a:off x="9525" y="0"/>
          <a:ext cx="7934325" cy="16764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600">
              <a:solidFill>
                <a:sysClr val="windowText" lastClr="000000"/>
              </a:solidFill>
              <a:latin typeface="Times New Roman" panose="02020603050405020304" pitchFamily="18" charset="0"/>
              <a:cs typeface="Times New Roman" panose="02020603050405020304" pitchFamily="18" charset="0"/>
            </a:rPr>
            <a:t>(LAB</a:t>
          </a:r>
          <a:r>
            <a:rPr lang="en-US" sz="2600" baseline="0">
              <a:solidFill>
                <a:sysClr val="windowText" lastClr="000000"/>
              </a:solidFill>
              <a:latin typeface="Times New Roman" panose="02020603050405020304" pitchFamily="18" charset="0"/>
              <a:cs typeface="Times New Roman" panose="02020603050405020304" pitchFamily="18" charset="0"/>
            </a:rPr>
            <a:t> 01</a:t>
          </a:r>
          <a:r>
            <a:rPr lang="en-US" sz="2600">
              <a:solidFill>
                <a:sysClr val="windowText" lastClr="000000"/>
              </a:solidFill>
              <a:latin typeface="Times New Roman" panose="02020603050405020304" pitchFamily="18" charset="0"/>
              <a:cs typeface="Times New Roman" panose="02020603050405020304" pitchFamily="18" charset="0"/>
            </a:rPr>
            <a:t>)</a:t>
          </a:r>
        </a:p>
        <a:p>
          <a:pPr algn="ctr"/>
          <a:r>
            <a:rPr lang="en-US" sz="2600" b="0" i="1">
              <a:solidFill>
                <a:sysClr val="windowText" lastClr="000000"/>
              </a:solidFill>
              <a:latin typeface="Bradley Hand ITC" panose="03070402050302030203" pitchFamily="66" charset="0"/>
              <a:cs typeface="Times New Roman" panose="02020603050405020304" pitchFamily="18" charset="0"/>
            </a:rPr>
            <a:t>(</a:t>
          </a:r>
          <a:r>
            <a:rPr lang="en-US" sz="2600" b="0" i="1">
              <a:solidFill>
                <a:srgbClr val="FF0000"/>
              </a:solidFill>
              <a:latin typeface="Bradley Hand ITC" panose="03070402050302030203" pitchFamily="66" charset="0"/>
              <a:cs typeface="Times New Roman" panose="02020603050405020304" pitchFamily="18" charset="0"/>
            </a:rPr>
            <a:t>Mohammad Abubakar Atiq - F2022031002)</a:t>
          </a:r>
        </a:p>
        <a:p>
          <a:pPr algn="ctr"/>
          <a:r>
            <a:rPr lang="en-US" sz="2600">
              <a:solidFill>
                <a:sysClr val="windowText" lastClr="000000"/>
              </a:solidFill>
              <a:latin typeface="Times New Roman" panose="02020603050405020304" pitchFamily="18" charset="0"/>
              <a:cs typeface="Times New Roman" panose="02020603050405020304" pitchFamily="18" charset="0"/>
            </a:rPr>
            <a:t>EF431 Industrial Facilities Design</a:t>
          </a:r>
        </a:p>
        <a:p>
          <a:pPr algn="ctr"/>
          <a:r>
            <a:rPr lang="en-US" sz="2600">
              <a:solidFill>
                <a:sysClr val="windowText" lastClr="000000"/>
              </a:solidFill>
              <a:latin typeface="Times New Roman" panose="02020603050405020304" pitchFamily="18" charset="0"/>
              <a:cs typeface="Times New Roman" panose="02020603050405020304" pitchFamily="18" charset="0"/>
            </a:rPr>
            <a:t>Task 01</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228600</xdr:colOff>
      <xdr:row>0</xdr:row>
      <xdr:rowOff>104775</xdr:rowOff>
    </xdr:from>
    <xdr:to>
      <xdr:col>6</xdr:col>
      <xdr:colOff>494110</xdr:colOff>
      <xdr:row>7</xdr:row>
      <xdr:rowOff>19050</xdr:rowOff>
    </xdr:to>
    <xdr:sp macro="" textlink="">
      <xdr:nvSpPr>
        <xdr:cNvPr id="2" name="TextBox 1"/>
        <xdr:cNvSpPr txBox="1"/>
      </xdr:nvSpPr>
      <xdr:spPr>
        <a:xfrm>
          <a:off x="228600" y="104775"/>
          <a:ext cx="5182791" cy="1247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Question 1</a:t>
          </a:r>
        </a:p>
        <a:p>
          <a:pPr algn="l"/>
          <a:r>
            <a:rPr lang="en-US" sz="1100"/>
            <a:t>a.</a:t>
          </a:r>
          <a:r>
            <a:rPr lang="en-US" sz="1100" baseline="0"/>
            <a:t> Use the center of gravity method to find the best location for warehouse to supply the following markets.</a:t>
          </a:r>
          <a:endParaRPr lang="en-US" sz="1100"/>
        </a:p>
      </xdr:txBody>
    </xdr:sp>
    <xdr:clientData/>
  </xdr:twoCellAnchor>
  <xdr:twoCellAnchor>
    <xdr:from>
      <xdr:col>0</xdr:col>
      <xdr:colOff>212480</xdr:colOff>
      <xdr:row>18</xdr:row>
      <xdr:rowOff>131884</xdr:rowOff>
    </xdr:from>
    <xdr:to>
      <xdr:col>6</xdr:col>
      <xdr:colOff>477990</xdr:colOff>
      <xdr:row>22</xdr:row>
      <xdr:rowOff>87923</xdr:rowOff>
    </xdr:to>
    <xdr:sp macro="" textlink="">
      <xdr:nvSpPr>
        <xdr:cNvPr id="3" name="TextBox 2"/>
        <xdr:cNvSpPr txBox="1"/>
      </xdr:nvSpPr>
      <xdr:spPr>
        <a:xfrm>
          <a:off x="212480" y="3656134"/>
          <a:ext cx="5181875" cy="7180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Question 1</a:t>
          </a:r>
        </a:p>
        <a:p>
          <a:pPr algn="l"/>
          <a:r>
            <a:rPr lang="en-US" sz="1100"/>
            <a:t>b. Suppose</a:t>
          </a:r>
          <a:r>
            <a:rPr lang="en-US" sz="1100" baseline="0"/>
            <a:t> the cost of supply/ton/mile is $0.12 to market A, and $ 0.10 to the other 3 markets. Find the best location to minimize total cost of supply.</a:t>
          </a:r>
          <a:endParaRPr lang="en-US" sz="1100"/>
        </a:p>
      </xdr:txBody>
    </xdr:sp>
    <xdr:clientData/>
  </xdr:twoCellAnchor>
  <xdr:twoCellAnchor>
    <xdr:from>
      <xdr:col>11</xdr:col>
      <xdr:colOff>285750</xdr:colOff>
      <xdr:row>0</xdr:row>
      <xdr:rowOff>124558</xdr:rowOff>
    </xdr:from>
    <xdr:to>
      <xdr:col>17</xdr:col>
      <xdr:colOff>468923</xdr:colOff>
      <xdr:row>8</xdr:row>
      <xdr:rowOff>80596</xdr:rowOff>
    </xdr:to>
    <xdr:sp macro="" textlink="">
      <xdr:nvSpPr>
        <xdr:cNvPr id="4" name="TextBox 3"/>
        <xdr:cNvSpPr txBox="1"/>
      </xdr:nvSpPr>
      <xdr:spPr>
        <a:xfrm>
          <a:off x="9268558" y="124558"/>
          <a:ext cx="5018942" cy="14800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Question 3</a:t>
          </a:r>
        </a:p>
        <a:p>
          <a:pPr algn="ctr"/>
          <a:r>
            <a:rPr lang="en-US" sz="1100"/>
            <a:t>(</a:t>
          </a:r>
          <a:r>
            <a:rPr lang="en-US" sz="1100" b="1" i="1"/>
            <a:t>Transporation Models Load - Distance Method</a:t>
          </a:r>
          <a:r>
            <a:rPr lang="en-US" sz="1100" b="0" i="0"/>
            <a:t>)</a:t>
          </a:r>
          <a:endParaRPr lang="en-US" sz="1100"/>
        </a:p>
        <a:p>
          <a:pPr algn="l"/>
          <a:r>
            <a:rPr lang="en-US" sz="1100"/>
            <a:t>Management is investigating</a:t>
          </a:r>
          <a:r>
            <a:rPr lang="en-US" sz="1100" baseline="0"/>
            <a:t> which location would be best to position its new plant relative to two suppliers (located in Cleveland and Toledo) and three market areas (represented by Cincinnati, Dayton, and Lima). Management has limited the search for this plant to those five locations. The following information has been collected. Which is best, assuming rectilinear distance?</a:t>
          </a:r>
          <a:endParaRPr lang="en-US" sz="1100"/>
        </a:p>
      </xdr:txBody>
    </xdr:sp>
    <xdr:clientData/>
  </xdr:twoCellAnchor>
  <xdr:twoCellAnchor>
    <xdr:from>
      <xdr:col>27</xdr:col>
      <xdr:colOff>438979</xdr:colOff>
      <xdr:row>0</xdr:row>
      <xdr:rowOff>41412</xdr:rowOff>
    </xdr:from>
    <xdr:to>
      <xdr:col>37</xdr:col>
      <xdr:colOff>216305</xdr:colOff>
      <xdr:row>19</xdr:row>
      <xdr:rowOff>82825</xdr:rowOff>
    </xdr:to>
    <xdr:sp macro="" textlink="">
      <xdr:nvSpPr>
        <xdr:cNvPr id="5" name="TextBox 4"/>
        <xdr:cNvSpPr txBox="1"/>
      </xdr:nvSpPr>
      <xdr:spPr>
        <a:xfrm>
          <a:off x="17625392" y="41412"/>
          <a:ext cx="5906456" cy="36609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Question 2</a:t>
          </a:r>
        </a:p>
        <a:p>
          <a:pPr lvl="0" rtl="0"/>
          <a:r>
            <a:rPr lang="en-US" sz="1100">
              <a:solidFill>
                <a:schemeClr val="dk1"/>
              </a:solidFill>
              <a:effectLst/>
              <a:latin typeface="+mn-lt"/>
              <a:ea typeface="+mn-ea"/>
              <a:cs typeface="+mn-cs"/>
            </a:rPr>
            <a:t>How does a cross –docking warehouse let Walmart move inventory rapidly from manufacturers to stores?</a:t>
          </a:r>
        </a:p>
        <a:p>
          <a:pPr lvl="0"/>
          <a:r>
            <a:rPr lang="en-US" sz="1100">
              <a:solidFill>
                <a:schemeClr val="dk1"/>
              </a:solidFill>
              <a:effectLst/>
              <a:latin typeface="+mn-lt"/>
              <a:ea typeface="+mn-ea"/>
              <a:cs typeface="+mn-cs"/>
            </a:rPr>
            <a:t>A common technique in warehouse location is the center of gravity method. Briefly describe the steps and data requirements in this method.</a:t>
          </a:r>
        </a:p>
        <a:p>
          <a:pPr lvl="0"/>
          <a:r>
            <a:rPr lang="en-US" sz="1100">
              <a:solidFill>
                <a:schemeClr val="dk1"/>
              </a:solidFill>
              <a:effectLst/>
              <a:latin typeface="+mn-lt"/>
              <a:ea typeface="+mn-ea"/>
              <a:cs typeface="+mn-cs"/>
            </a:rPr>
            <a:t>Weber has two production plants (P1, P2), from which it ships barbeque grills to its three national warehouses (W1, W2, and W3). From these warehouses it feeds the supply chain of Lowes through eight regional distribution centers (D1, D2, D3, D4, D5, D6, D7, and D8). The shipping costs between these locations, plant supply capacity and the weekly supply demand data in cases are shown below:</a:t>
          </a:r>
        </a:p>
        <a:p>
          <a:pPr lvl="2"/>
          <a:r>
            <a:rPr lang="en-US" sz="1100">
              <a:solidFill>
                <a:schemeClr val="dk1"/>
              </a:solidFill>
              <a:effectLst/>
              <a:latin typeface="+mn-lt"/>
              <a:ea typeface="+mn-ea"/>
              <a:cs typeface="+mn-cs"/>
            </a:rPr>
            <a:t>solve the network distribution problem via LP using MS-Solve</a:t>
          </a:r>
        </a:p>
        <a:p>
          <a:pPr lvl="2"/>
          <a:r>
            <a:rPr lang="en-US" sz="1100">
              <a:solidFill>
                <a:schemeClr val="dk1"/>
              </a:solidFill>
              <a:effectLst/>
              <a:latin typeface="+mn-lt"/>
              <a:ea typeface="+mn-ea"/>
              <a:cs typeface="+mn-cs"/>
            </a:rPr>
            <a:t>Plant P2 needs to shut down one of its assembly lines and the capacity is reduced to 23,000 units. What is the new distribution plan, and what is the additional supply chain cost.</a:t>
          </a:r>
        </a:p>
        <a:p>
          <a:pPr lvl="2"/>
          <a:r>
            <a:rPr lang="en-US" sz="1100">
              <a:solidFill>
                <a:schemeClr val="dk1"/>
              </a:solidFill>
              <a:effectLst/>
              <a:latin typeface="+mn-lt"/>
              <a:ea typeface="+mn-ea"/>
              <a:cs typeface="+mn-cs"/>
            </a:rPr>
            <a:t>If the W2 warehouse has a maximum distribution capacity of 5000 units/week how does the solution in (i) change?</a:t>
          </a:r>
        </a:p>
        <a:p>
          <a:pPr lvl="2"/>
          <a:r>
            <a:rPr lang="en-US" sz="1100">
              <a:solidFill>
                <a:schemeClr val="dk1"/>
              </a:solidFill>
              <a:effectLst/>
              <a:latin typeface="+mn-lt"/>
              <a:ea typeface="+mn-ea"/>
              <a:cs typeface="+mn-cs"/>
            </a:rPr>
            <a:t>If the production costs at P2 are $3 higher than P2, how does the solution in (i) change?</a:t>
          </a:r>
        </a:p>
        <a:p>
          <a:pPr algn="ctr"/>
          <a:endParaRPr lang="en-US" sz="1100"/>
        </a:p>
      </xdr:txBody>
    </xdr:sp>
    <xdr:clientData/>
  </xdr:twoCellAnchor>
  <xdr:twoCellAnchor>
    <xdr:from>
      <xdr:col>0</xdr:col>
      <xdr:colOff>476250</xdr:colOff>
      <xdr:row>36</xdr:row>
      <xdr:rowOff>95250</xdr:rowOff>
    </xdr:from>
    <xdr:to>
      <xdr:col>6</xdr:col>
      <xdr:colOff>741760</xdr:colOff>
      <xdr:row>43</xdr:row>
      <xdr:rowOff>9525</xdr:rowOff>
    </xdr:to>
    <xdr:sp macro="" textlink="">
      <xdr:nvSpPr>
        <xdr:cNvPr id="6" name="TextBox 5"/>
        <xdr:cNvSpPr txBox="1"/>
      </xdr:nvSpPr>
      <xdr:spPr>
        <a:xfrm>
          <a:off x="476250" y="7143750"/>
          <a:ext cx="5742385" cy="1247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Lab 02</a:t>
          </a:r>
        </a:p>
        <a:p>
          <a:pPr algn="ctr"/>
          <a:r>
            <a:rPr lang="en-US" sz="1100"/>
            <a:t>EF431 L Industrial Facilities Design</a:t>
          </a:r>
        </a:p>
        <a:p>
          <a:pPr algn="ctr"/>
          <a:r>
            <a:rPr lang="en-US" sz="1100"/>
            <a:t>Submitted by Mohammad Abubakar</a:t>
          </a:r>
          <a:r>
            <a:rPr lang="en-US" sz="1100" baseline="0"/>
            <a:t> Atiq, F2022031002</a:t>
          </a:r>
        </a:p>
        <a:p>
          <a:pPr algn="ctr"/>
          <a:r>
            <a:rPr lang="en-US" sz="1100" baseline="0"/>
            <a:t>To,</a:t>
          </a:r>
        </a:p>
        <a:p>
          <a:pPr algn="ctr"/>
          <a:r>
            <a:rPr lang="en-US" sz="1100" baseline="0"/>
            <a:t>Sir Rehan Ashraf</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57150</xdr:colOff>
      <xdr:row>7</xdr:row>
      <xdr:rowOff>9525</xdr:rowOff>
    </xdr:from>
    <xdr:to>
      <xdr:col>11</xdr:col>
      <xdr:colOff>542925</xdr:colOff>
      <xdr:row>28</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266701</xdr:colOff>
      <xdr:row>0</xdr:row>
      <xdr:rowOff>85724</xdr:rowOff>
    </xdr:from>
    <xdr:to>
      <xdr:col>24</xdr:col>
      <xdr:colOff>222251</xdr:colOff>
      <xdr:row>36</xdr:row>
      <xdr:rowOff>22411</xdr:rowOff>
    </xdr:to>
    <mc:AlternateContent xmlns:mc="http://schemas.openxmlformats.org/markup-compatibility/2006">
      <mc:Choice xmlns:a14="http://schemas.microsoft.com/office/drawing/2010/main" Requires="a14">
        <xdr:sp macro="" textlink="">
          <xdr:nvSpPr>
            <xdr:cNvPr id="3" name="TextBox 2"/>
            <xdr:cNvSpPr txBox="1"/>
          </xdr:nvSpPr>
          <xdr:spPr>
            <a:xfrm>
              <a:off x="8553451" y="85724"/>
              <a:ext cx="7194550" cy="67946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Algebraic</a:t>
              </a:r>
              <a:r>
                <a:rPr lang="en-US" sz="1600" baseline="0"/>
                <a:t> Cross over Points</a:t>
              </a:r>
            </a:p>
            <a:p>
              <a:r>
                <a:rPr lang="en-US" sz="1600" baseline="0"/>
                <a:t>Crossover 1: Location C vs. Location B</a:t>
              </a:r>
            </a:p>
            <a:p>
              <a:r>
                <a:rPr lang="en-US" sz="1600" baseline="0"/>
                <a:t>This is the first crossover, where C (the initial cheapest) is overtaken by B.</a:t>
              </a:r>
            </a:p>
            <a:p>
              <a:r>
                <a:rPr lang="en-US" sz="1600" baseline="0"/>
                <a:t>C: </a:t>
              </a:r>
              <a14:m>
                <m:oMath xmlns:m="http://schemas.openxmlformats.org/officeDocument/2006/math">
                  <m:r>
                    <a:rPr lang="en-US" sz="1600" b="0" i="1" baseline="0">
                      <a:latin typeface="Cambria Math" panose="02040503050406030204" pitchFamily="18" charset="0"/>
                    </a:rPr>
                    <m:t>100,000+40</m:t>
                  </m:r>
                  <m:r>
                    <a:rPr lang="en-US" sz="1600" b="0" i="1" baseline="0">
                      <a:latin typeface="Cambria Math" panose="02040503050406030204" pitchFamily="18" charset="0"/>
                    </a:rPr>
                    <m:t>𝑉</m:t>
                  </m:r>
                </m:oMath>
              </a14:m>
              <a:endParaRPr lang="en-US" sz="1600" b="0" baseline="0"/>
            </a:p>
            <a:p>
              <a:r>
                <a:rPr lang="en-US" sz="1600"/>
                <a:t>B: </a:t>
              </a:r>
              <a14:m>
                <m:oMath xmlns:m="http://schemas.openxmlformats.org/officeDocument/2006/math">
                  <m:r>
                    <a:rPr lang="en-US" sz="1600" b="0" i="1">
                      <a:latin typeface="Cambria Math" panose="02040503050406030204" pitchFamily="18" charset="0"/>
                    </a:rPr>
                    <m:t>170,000+25</m:t>
                  </m:r>
                  <m:r>
                    <a:rPr lang="en-US" sz="1600" b="0" i="1">
                      <a:latin typeface="Cambria Math" panose="02040503050406030204" pitchFamily="18" charset="0"/>
                    </a:rPr>
                    <m:t>𝑉</m:t>
                  </m:r>
                </m:oMath>
              </a14:m>
              <a:endParaRPr lang="en-US" sz="1600" b="0"/>
            </a:p>
            <a:p>
              <a14:m>
                <m:oMathPara xmlns:m="http://schemas.openxmlformats.org/officeDocument/2006/math">
                  <m:oMathParaPr>
                    <m:jc m:val="centerGroup"/>
                  </m:oMathParaPr>
                  <m:oMath xmlns:m="http://schemas.openxmlformats.org/officeDocument/2006/math">
                    <m:r>
                      <a:rPr lang="en-US" sz="1600" b="0" i="1">
                        <a:latin typeface="Cambria Math" panose="02040503050406030204" pitchFamily="18" charset="0"/>
                      </a:rPr>
                      <m:t>100,000+40</m:t>
                    </m:r>
                    <m:r>
                      <a:rPr lang="en-US" sz="1600" b="0" i="1">
                        <a:latin typeface="Cambria Math" panose="02040503050406030204" pitchFamily="18" charset="0"/>
                      </a:rPr>
                      <m:t>𝑉</m:t>
                    </m:r>
                    <m:r>
                      <a:rPr lang="en-US" sz="1600" b="0" i="1">
                        <a:latin typeface="Cambria Math" panose="02040503050406030204" pitchFamily="18" charset="0"/>
                      </a:rPr>
                      <m:t>=170,000+25</m:t>
                    </m:r>
                    <m:r>
                      <a:rPr lang="en-US" sz="1600" b="0" i="1">
                        <a:latin typeface="Cambria Math" panose="02040503050406030204" pitchFamily="18" charset="0"/>
                      </a:rPr>
                      <m:t>𝑉</m:t>
                    </m:r>
                  </m:oMath>
                </m:oMathPara>
              </a14:m>
              <a:endParaRPr lang="en-US" sz="1600" b="0"/>
            </a:p>
            <a:p>
              <a14:m>
                <m:oMathPara xmlns:m="http://schemas.openxmlformats.org/officeDocument/2006/math">
                  <m:oMathParaPr>
                    <m:jc m:val="centerGroup"/>
                  </m:oMathParaPr>
                  <m:oMath xmlns:m="http://schemas.openxmlformats.org/officeDocument/2006/math">
                    <m:r>
                      <a:rPr lang="en-US" sz="1600" b="0" i="1">
                        <a:latin typeface="Cambria Math" panose="02040503050406030204" pitchFamily="18" charset="0"/>
                      </a:rPr>
                      <m:t>15</m:t>
                    </m:r>
                    <m:r>
                      <a:rPr lang="en-US" sz="1600" b="0" i="1">
                        <a:latin typeface="Cambria Math" panose="02040503050406030204" pitchFamily="18" charset="0"/>
                      </a:rPr>
                      <m:t>𝑉</m:t>
                    </m:r>
                    <m:r>
                      <a:rPr lang="en-US" sz="1600" b="0" i="1">
                        <a:latin typeface="Cambria Math" panose="02040503050406030204" pitchFamily="18" charset="0"/>
                      </a:rPr>
                      <m:t>=70,000</m:t>
                    </m:r>
                  </m:oMath>
                </m:oMathPara>
              </a14:m>
              <a:endParaRPr lang="en-US" sz="1600" b="0"/>
            </a:p>
            <a:p>
              <a14:m>
                <m:oMathPara xmlns:m="http://schemas.openxmlformats.org/officeDocument/2006/math">
                  <m:oMathParaPr>
                    <m:jc m:val="centerGroup"/>
                  </m:oMathParaPr>
                  <m:oMath xmlns:m="http://schemas.openxmlformats.org/officeDocument/2006/math">
                    <m:r>
                      <a:rPr lang="en-US" sz="1600" b="0" i="1">
                        <a:latin typeface="Cambria Math" panose="02040503050406030204" pitchFamily="18" charset="0"/>
                      </a:rPr>
                      <m:t>𝑉</m:t>
                    </m:r>
                    <m:r>
                      <a:rPr lang="en-US" sz="1600" b="0" i="1">
                        <a:latin typeface="Cambria Math" panose="02040503050406030204" pitchFamily="18" charset="0"/>
                      </a:rPr>
                      <m:t>=4,667</m:t>
                    </m:r>
                  </m:oMath>
                </m:oMathPara>
              </a14:m>
              <a:endParaRPr lang="en-US" sz="1600" b="0"/>
            </a:p>
            <a:p>
              <a:r>
                <a:rPr lang="en-US" sz="1600"/>
                <a:t>at 4,667</a:t>
              </a:r>
              <a:r>
                <a:rPr lang="en-US" sz="1600" baseline="0"/>
                <a:t> garments, the cost for B and C is the same.</a:t>
              </a:r>
            </a:p>
            <a:p>
              <a:endParaRPr lang="en-US" sz="1600" baseline="0"/>
            </a:p>
            <a:p>
              <a:r>
                <a:rPr lang="en-US" sz="1600" baseline="0"/>
                <a:t>Crossover 2: Location B vs. Location A</a:t>
              </a:r>
            </a:p>
            <a:p>
              <a:r>
                <a:rPr lang="en-US" sz="1600" baseline="0"/>
                <a:t>This is the second crossover, where B is overtaken by A. (We skip D, since the graph shows it is never the cheapest).</a:t>
              </a:r>
            </a:p>
            <a:p>
              <a:r>
                <a:rPr lang="en-US" sz="1600" baseline="0"/>
                <a:t>B: </a:t>
              </a:r>
              <a14:m>
                <m:oMath xmlns:m="http://schemas.openxmlformats.org/officeDocument/2006/math">
                  <m:r>
                    <a:rPr lang="en-US" sz="1600" b="0" i="1" baseline="0">
                      <a:latin typeface="Cambria Math" panose="02040503050406030204" pitchFamily="18" charset="0"/>
                    </a:rPr>
                    <m:t>170,000+25</m:t>
                  </m:r>
                  <m:r>
                    <a:rPr lang="en-US" sz="1600" b="0" i="1" baseline="0">
                      <a:latin typeface="Cambria Math" panose="02040503050406030204" pitchFamily="18" charset="0"/>
                    </a:rPr>
                    <m:t>𝑉</m:t>
                  </m:r>
                </m:oMath>
              </a14:m>
              <a:endParaRPr lang="en-US" sz="1600" b="0" baseline="0"/>
            </a:p>
            <a:p>
              <a:r>
                <a:rPr lang="en-US" sz="1600"/>
                <a:t>A:</a:t>
              </a:r>
              <a:r>
                <a:rPr lang="en-US" sz="1600" baseline="0"/>
                <a:t> </a:t>
              </a:r>
              <a14:m>
                <m:oMath xmlns:m="http://schemas.openxmlformats.org/officeDocument/2006/math">
                  <m:r>
                    <a:rPr lang="en-US" sz="1600" b="0" i="1" baseline="0">
                      <a:latin typeface="Cambria Math" panose="02040503050406030204" pitchFamily="18" charset="0"/>
                    </a:rPr>
                    <m:t>350,000+5</m:t>
                  </m:r>
                  <m:r>
                    <a:rPr lang="en-US" sz="1600" b="0" i="1" baseline="0">
                      <a:latin typeface="Cambria Math" panose="02040503050406030204" pitchFamily="18" charset="0"/>
                    </a:rPr>
                    <m:t>𝑉</m:t>
                  </m:r>
                </m:oMath>
              </a14:m>
              <a:endParaRPr lang="en-US" sz="1600" b="0" baseline="0"/>
            </a:p>
            <a:p>
              <a14:m>
                <m:oMathPara xmlns:m="http://schemas.openxmlformats.org/officeDocument/2006/math">
                  <m:oMathParaPr>
                    <m:jc m:val="centerGroup"/>
                  </m:oMathParaPr>
                  <m:oMath xmlns:m="http://schemas.openxmlformats.org/officeDocument/2006/math">
                    <m:r>
                      <a:rPr lang="en-US" sz="1600" b="0" i="1">
                        <a:latin typeface="Cambria Math" panose="02040503050406030204" pitchFamily="18" charset="0"/>
                      </a:rPr>
                      <m:t>170,000+25</m:t>
                    </m:r>
                    <m:r>
                      <a:rPr lang="en-US" sz="1600" b="0" i="1">
                        <a:latin typeface="Cambria Math" panose="02040503050406030204" pitchFamily="18" charset="0"/>
                      </a:rPr>
                      <m:t>𝑉</m:t>
                    </m:r>
                    <m:r>
                      <a:rPr lang="en-US" sz="1600" b="0" i="1">
                        <a:latin typeface="Cambria Math" panose="02040503050406030204" pitchFamily="18" charset="0"/>
                      </a:rPr>
                      <m:t>=350,000+5</m:t>
                    </m:r>
                    <m:r>
                      <a:rPr lang="en-US" sz="1600" b="0" i="1">
                        <a:latin typeface="Cambria Math" panose="02040503050406030204" pitchFamily="18" charset="0"/>
                      </a:rPr>
                      <m:t>𝑉</m:t>
                    </m:r>
                  </m:oMath>
                </m:oMathPara>
              </a14:m>
              <a:endParaRPr lang="en-US" sz="1600" b="0"/>
            </a:p>
            <a:p>
              <a14:m>
                <m:oMathPara xmlns:m="http://schemas.openxmlformats.org/officeDocument/2006/math">
                  <m:oMathParaPr>
                    <m:jc m:val="centerGroup"/>
                  </m:oMathParaPr>
                  <m:oMath xmlns:m="http://schemas.openxmlformats.org/officeDocument/2006/math">
                    <m:r>
                      <a:rPr lang="en-US" sz="1600" b="0" i="1">
                        <a:latin typeface="Cambria Math" panose="02040503050406030204" pitchFamily="18" charset="0"/>
                      </a:rPr>
                      <m:t>20</m:t>
                    </m:r>
                    <m:r>
                      <a:rPr lang="en-US" sz="1600" b="0" i="1">
                        <a:latin typeface="Cambria Math" panose="02040503050406030204" pitchFamily="18" charset="0"/>
                      </a:rPr>
                      <m:t>𝑉</m:t>
                    </m:r>
                    <m:r>
                      <a:rPr lang="en-US" sz="1600" b="0" i="1">
                        <a:latin typeface="Cambria Math" panose="02040503050406030204" pitchFamily="18" charset="0"/>
                      </a:rPr>
                      <m:t>=180,000</m:t>
                    </m:r>
                  </m:oMath>
                </m:oMathPara>
              </a14:m>
              <a:endParaRPr lang="en-US" sz="1600" b="0"/>
            </a:p>
            <a:p>
              <a14:m>
                <m:oMathPara xmlns:m="http://schemas.openxmlformats.org/officeDocument/2006/math">
                  <m:oMathParaPr>
                    <m:jc m:val="centerGroup"/>
                  </m:oMathParaPr>
                  <m:oMath xmlns:m="http://schemas.openxmlformats.org/officeDocument/2006/math">
                    <m:r>
                      <a:rPr lang="en-US" sz="1600" b="0" i="1">
                        <a:latin typeface="Cambria Math" panose="02040503050406030204" pitchFamily="18" charset="0"/>
                      </a:rPr>
                      <m:t>𝑉</m:t>
                    </m:r>
                    <m:r>
                      <a:rPr lang="en-US" sz="1600" b="0" i="1">
                        <a:latin typeface="Cambria Math" panose="02040503050406030204" pitchFamily="18" charset="0"/>
                      </a:rPr>
                      <m:t>=9,000</m:t>
                    </m:r>
                  </m:oMath>
                </m:oMathPara>
              </a14:m>
              <a:endParaRPr lang="en-US" sz="1600" b="0"/>
            </a:p>
            <a:p>
              <a:r>
                <a:rPr lang="en-US" sz="1600"/>
                <a:t>At</a:t>
              </a:r>
              <a:r>
                <a:rPr lang="en-US" sz="1600" baseline="0"/>
                <a:t> 9,000 garments, the cost for B and A is the same.</a:t>
              </a:r>
            </a:p>
            <a:p>
              <a:endParaRPr lang="en-US" sz="1600" baseline="0"/>
            </a:p>
            <a:p>
              <a:r>
                <a:rPr lang="en-US" sz="1600" baseline="0"/>
                <a:t>1. </a:t>
              </a:r>
              <a14:m>
                <m:oMath xmlns:m="http://schemas.openxmlformats.org/officeDocument/2006/math">
                  <m:r>
                    <a:rPr lang="en-US" sz="1600" b="0" i="1" baseline="0">
                      <a:latin typeface="Cambria Math" panose="02040503050406030204" pitchFamily="18" charset="0"/>
                    </a:rPr>
                    <m:t>0−4,66</m:t>
                  </m:r>
                  <m:r>
                    <m:rPr>
                      <m:lit/>
                    </m:rPr>
                    <a:rPr lang="en-US" sz="1600" b="0" i="1" baseline="0">
                      <a:latin typeface="Cambria Math" panose="02040503050406030204" pitchFamily="18" charset="0"/>
                    </a:rPr>
                    <m:t> </m:t>
                  </m:r>
                  <m:r>
                    <a:rPr lang="en-US" sz="1600" b="0" i="1" baseline="0">
                      <a:latin typeface="Cambria Math" panose="02040503050406030204" pitchFamily="18" charset="0"/>
                    </a:rPr>
                    <m:t>𝑔𝑎𝑟𝑚𝑒𝑛𝑡𝑠</m:t>
                  </m:r>
                  <m:r>
                    <a:rPr lang="en-US" sz="1600" b="0" i="1" baseline="0">
                      <a:latin typeface="Cambria Math" panose="02040503050406030204" pitchFamily="18" charset="0"/>
                    </a:rPr>
                    <m:t>:</m:t>
                  </m:r>
                  <m:r>
                    <a:rPr lang="en-US" sz="1600" b="0" i="1" baseline="0">
                      <a:latin typeface="Cambria Math" panose="02040503050406030204" pitchFamily="18" charset="0"/>
                    </a:rPr>
                    <m:t>𝐿𝑜𝑐𝑎𝑡𝑖𝑜𝑛</m:t>
                  </m:r>
                  <m:r>
                    <a:rPr lang="en-US" sz="1600" b="0" i="1" baseline="0">
                      <a:latin typeface="Cambria Math" panose="02040503050406030204" pitchFamily="18" charset="0"/>
                    </a:rPr>
                    <m:t> </m:t>
                  </m:r>
                  <m:r>
                    <a:rPr lang="en-US" sz="1600" b="0" i="1" baseline="0">
                      <a:latin typeface="Cambria Math" panose="02040503050406030204" pitchFamily="18" charset="0"/>
                    </a:rPr>
                    <m:t>𝐶</m:t>
                  </m:r>
                  <m:r>
                    <a:rPr lang="en-US" sz="1600" b="0" i="1" baseline="0">
                      <a:latin typeface="Cambria Math" panose="02040503050406030204" pitchFamily="18" charset="0"/>
                    </a:rPr>
                    <m:t> </m:t>
                  </m:r>
                  <m:r>
                    <a:rPr lang="en-US" sz="1600" b="0" i="1" baseline="0">
                      <a:latin typeface="Cambria Math" panose="02040503050406030204" pitchFamily="18" charset="0"/>
                    </a:rPr>
                    <m:t>𝑖𝑠</m:t>
                  </m:r>
                  <m:r>
                    <a:rPr lang="en-US" sz="1600" b="0" i="1" baseline="0">
                      <a:latin typeface="Cambria Math" panose="02040503050406030204" pitchFamily="18" charset="0"/>
                    </a:rPr>
                    <m:t> </m:t>
                  </m:r>
                  <m:r>
                    <a:rPr lang="en-US" sz="1600" b="0" i="1" baseline="0">
                      <a:latin typeface="Cambria Math" panose="02040503050406030204" pitchFamily="18" charset="0"/>
                    </a:rPr>
                    <m:t>𝑐h𝑒𝑎𝑝𝑒𝑠𝑡</m:t>
                  </m:r>
                  <m:r>
                    <a:rPr lang="en-US" sz="1600" b="0" i="1" baseline="0">
                      <a:latin typeface="Cambria Math" panose="02040503050406030204" pitchFamily="18" charset="0"/>
                    </a:rPr>
                    <m:t>.</m:t>
                  </m:r>
                </m:oMath>
              </a14:m>
              <a:endParaRPr lang="en-US" sz="1600" b="0" baseline="0"/>
            </a:p>
            <a:p>
              <a:r>
                <a:rPr lang="en-US" sz="1600"/>
                <a:t>2. </a:t>
              </a:r>
              <a14:m>
                <m:oMath xmlns:m="http://schemas.openxmlformats.org/officeDocument/2006/math">
                  <m:r>
                    <a:rPr lang="en-US" sz="1600" b="0" i="1">
                      <a:latin typeface="Cambria Math" panose="02040503050406030204" pitchFamily="18" charset="0"/>
                    </a:rPr>
                    <m:t>4,667−9,000 </m:t>
                  </m:r>
                  <m:r>
                    <a:rPr lang="en-US" sz="1600" b="0" i="1">
                      <a:latin typeface="Cambria Math" panose="02040503050406030204" pitchFamily="18" charset="0"/>
                    </a:rPr>
                    <m:t>𝑔𝑎𝑟𝑚𝑒𝑛𝑡𝑠</m:t>
                  </m:r>
                  <m:r>
                    <a:rPr lang="en-US" sz="1600" b="0" i="1">
                      <a:latin typeface="Cambria Math" panose="02040503050406030204" pitchFamily="18" charset="0"/>
                    </a:rPr>
                    <m:t>:</m:t>
                  </m:r>
                  <m:r>
                    <a:rPr lang="en-US" sz="1600" b="0" i="1">
                      <a:latin typeface="Cambria Math" panose="02040503050406030204" pitchFamily="18" charset="0"/>
                    </a:rPr>
                    <m:t>𝐿𝑜𝑐𝑎𝑡𝑖𝑜𝑛</m:t>
                  </m:r>
                  <m:r>
                    <a:rPr lang="en-US" sz="1600" b="0" i="1">
                      <a:latin typeface="Cambria Math" panose="02040503050406030204" pitchFamily="18" charset="0"/>
                    </a:rPr>
                    <m:t> </m:t>
                  </m:r>
                  <m:r>
                    <a:rPr lang="en-US" sz="1600" b="0" i="1">
                      <a:latin typeface="Cambria Math" panose="02040503050406030204" pitchFamily="18" charset="0"/>
                    </a:rPr>
                    <m:t>𝐵</m:t>
                  </m:r>
                  <m:r>
                    <a:rPr lang="en-US" sz="1600" b="0" i="1">
                      <a:latin typeface="Cambria Math" panose="02040503050406030204" pitchFamily="18" charset="0"/>
                    </a:rPr>
                    <m:t> </m:t>
                  </m:r>
                  <m:r>
                    <a:rPr lang="en-US" sz="1600" b="0" i="1">
                      <a:latin typeface="Cambria Math" panose="02040503050406030204" pitchFamily="18" charset="0"/>
                    </a:rPr>
                    <m:t>𝑖𝑠</m:t>
                  </m:r>
                  <m:r>
                    <a:rPr lang="en-US" sz="1600" b="0" i="1">
                      <a:latin typeface="Cambria Math" panose="02040503050406030204" pitchFamily="18" charset="0"/>
                    </a:rPr>
                    <m:t> </m:t>
                  </m:r>
                  <m:r>
                    <a:rPr lang="en-US" sz="1600" b="0" i="1">
                      <a:latin typeface="Cambria Math" panose="02040503050406030204" pitchFamily="18" charset="0"/>
                    </a:rPr>
                    <m:t>𝑐h𝑒𝑎𝑝𝑒𝑠𝑡</m:t>
                  </m:r>
                  <m:r>
                    <a:rPr lang="en-US" sz="1600" b="0" i="1">
                      <a:latin typeface="Cambria Math" panose="02040503050406030204" pitchFamily="18" charset="0"/>
                    </a:rPr>
                    <m:t>.</m:t>
                  </m:r>
                </m:oMath>
              </a14:m>
              <a:endParaRPr lang="en-US" sz="1600" b="0"/>
            </a:p>
            <a:p>
              <a:r>
                <a:rPr lang="en-US" sz="1600"/>
                <a:t>3. </a:t>
              </a:r>
              <a14:m>
                <m:oMath xmlns:m="http://schemas.openxmlformats.org/officeDocument/2006/math">
                  <m:r>
                    <a:rPr lang="en-US" sz="1600" b="0" i="1">
                      <a:latin typeface="Cambria Math" panose="02040503050406030204" pitchFamily="18" charset="0"/>
                    </a:rPr>
                    <m:t>𝑂𝑣𝑒𝑟</m:t>
                  </m:r>
                  <m:r>
                    <a:rPr lang="en-US" sz="1600" b="0" i="1">
                      <a:latin typeface="Cambria Math" panose="02040503050406030204" pitchFamily="18" charset="0"/>
                    </a:rPr>
                    <m:t> 9,000 </m:t>
                  </m:r>
                  <m:r>
                    <a:rPr lang="en-US" sz="1600" b="0" i="1">
                      <a:latin typeface="Cambria Math" panose="02040503050406030204" pitchFamily="18" charset="0"/>
                    </a:rPr>
                    <m:t>𝑔𝑎𝑟𝑚𝑒𝑛𝑡𝑠</m:t>
                  </m:r>
                  <m:r>
                    <a:rPr lang="en-US" sz="1600" b="0" i="1">
                      <a:latin typeface="Cambria Math" panose="02040503050406030204" pitchFamily="18" charset="0"/>
                    </a:rPr>
                    <m:t>:</m:t>
                  </m:r>
                  <m:r>
                    <a:rPr lang="en-US" sz="1600" b="0" i="1">
                      <a:latin typeface="Cambria Math" panose="02040503050406030204" pitchFamily="18" charset="0"/>
                    </a:rPr>
                    <m:t>𝐿𝑜𝑐𝑎𝑡𝑖𝑜𝑛</m:t>
                  </m:r>
                  <m:r>
                    <a:rPr lang="en-US" sz="1600" b="0" i="1">
                      <a:latin typeface="Cambria Math" panose="02040503050406030204" pitchFamily="18" charset="0"/>
                    </a:rPr>
                    <m:t> </m:t>
                  </m:r>
                  <m:r>
                    <a:rPr lang="en-US" sz="1600" b="0" i="1">
                      <a:latin typeface="Cambria Math" panose="02040503050406030204" pitchFamily="18" charset="0"/>
                    </a:rPr>
                    <m:t>𝐴</m:t>
                  </m:r>
                  <m:r>
                    <a:rPr lang="en-US" sz="1600" b="0" i="1">
                      <a:latin typeface="Cambria Math" panose="02040503050406030204" pitchFamily="18" charset="0"/>
                    </a:rPr>
                    <m:t> </m:t>
                  </m:r>
                  <m:r>
                    <a:rPr lang="en-US" sz="1600" b="0" i="1">
                      <a:latin typeface="Cambria Math" panose="02040503050406030204" pitchFamily="18" charset="0"/>
                    </a:rPr>
                    <m:t>𝑖𝑠</m:t>
                  </m:r>
                  <m:r>
                    <a:rPr lang="en-US" sz="1600" b="0" i="1">
                      <a:latin typeface="Cambria Math" panose="02040503050406030204" pitchFamily="18" charset="0"/>
                    </a:rPr>
                    <m:t> </m:t>
                  </m:r>
                  <m:r>
                    <a:rPr lang="en-US" sz="1600" b="0" i="1">
                      <a:latin typeface="Cambria Math" panose="02040503050406030204" pitchFamily="18" charset="0"/>
                    </a:rPr>
                    <m:t>𝑐h𝑒𝑎𝑝𝑒𝑠𝑡</m:t>
                  </m:r>
                  <m:r>
                    <a:rPr lang="en-US" sz="1600" b="0" i="1">
                      <a:latin typeface="Cambria Math" panose="02040503050406030204" pitchFamily="18" charset="0"/>
                    </a:rPr>
                    <m:t>.</m:t>
                  </m:r>
                </m:oMath>
              </a14:m>
              <a:endParaRPr lang="en-US" sz="1600"/>
            </a:p>
            <a:p>
              <a:endParaRPr lang="en-US" sz="1600"/>
            </a:p>
            <a:p>
              <a:r>
                <a:rPr lang="en-US" sz="1600"/>
                <a:t>Task was for 10,000, since 10,000 is in</a:t>
              </a:r>
              <a:r>
                <a:rPr lang="en-US" sz="1600" baseline="0"/>
                <a:t> the "Over 9,000" range, Location A is the best choice. </a:t>
              </a:r>
              <a:endParaRPr lang="en-US" sz="1600"/>
            </a:p>
          </xdr:txBody>
        </xdr:sp>
      </mc:Choice>
      <mc:Fallback>
        <xdr:sp macro="" textlink="">
          <xdr:nvSpPr>
            <xdr:cNvPr id="3" name="TextBox 2"/>
            <xdr:cNvSpPr txBox="1"/>
          </xdr:nvSpPr>
          <xdr:spPr>
            <a:xfrm>
              <a:off x="8553451" y="85724"/>
              <a:ext cx="7194550" cy="67946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Algebraic</a:t>
              </a:r>
              <a:r>
                <a:rPr lang="en-US" sz="1600" baseline="0"/>
                <a:t> Cross over Points</a:t>
              </a:r>
            </a:p>
            <a:p>
              <a:r>
                <a:rPr lang="en-US" sz="1600" baseline="0"/>
                <a:t>Crossover 1: Location C vs. Location B</a:t>
              </a:r>
            </a:p>
            <a:p>
              <a:r>
                <a:rPr lang="en-US" sz="1600" baseline="0"/>
                <a:t>This is the first crossover, where C (the initial cheapest) is overtaken by B.</a:t>
              </a:r>
            </a:p>
            <a:p>
              <a:r>
                <a:rPr lang="en-US" sz="1600" baseline="0"/>
                <a:t>C: </a:t>
              </a:r>
              <a:r>
                <a:rPr lang="en-US" sz="1600" b="0" i="0" baseline="0">
                  <a:latin typeface="Cambria Math" panose="02040503050406030204" pitchFamily="18" charset="0"/>
                </a:rPr>
                <a:t>100,000+40𝑉</a:t>
              </a:r>
              <a:endParaRPr lang="en-US" sz="1600" b="0" baseline="0"/>
            </a:p>
            <a:p>
              <a:r>
                <a:rPr lang="en-US" sz="1600"/>
                <a:t>B: </a:t>
              </a:r>
              <a:r>
                <a:rPr lang="en-US" sz="1600" b="0" i="0">
                  <a:latin typeface="Cambria Math" panose="02040503050406030204" pitchFamily="18" charset="0"/>
                </a:rPr>
                <a:t>170,000+25𝑉</a:t>
              </a:r>
              <a:endParaRPr lang="en-US" sz="1600" b="0"/>
            </a:p>
            <a:p>
              <a:r>
                <a:rPr lang="en-US" sz="1600" b="0" i="0">
                  <a:latin typeface="Cambria Math" panose="02040503050406030204" pitchFamily="18" charset="0"/>
                </a:rPr>
                <a:t>100,000+40𝑉=170,000+25𝑉</a:t>
              </a:r>
              <a:endParaRPr lang="en-US" sz="1600" b="0"/>
            </a:p>
            <a:p>
              <a:r>
                <a:rPr lang="en-US" sz="1600" b="0" i="0">
                  <a:latin typeface="Cambria Math" panose="02040503050406030204" pitchFamily="18" charset="0"/>
                </a:rPr>
                <a:t>15𝑉=70,000</a:t>
              </a:r>
              <a:endParaRPr lang="en-US" sz="1600" b="0"/>
            </a:p>
            <a:p>
              <a:r>
                <a:rPr lang="en-US" sz="1600" b="0" i="0">
                  <a:latin typeface="Cambria Math" panose="02040503050406030204" pitchFamily="18" charset="0"/>
                </a:rPr>
                <a:t>𝑉=4,667</a:t>
              </a:r>
              <a:endParaRPr lang="en-US" sz="1600" b="0"/>
            </a:p>
            <a:p>
              <a:r>
                <a:rPr lang="en-US" sz="1600"/>
                <a:t>at 4,667</a:t>
              </a:r>
              <a:r>
                <a:rPr lang="en-US" sz="1600" baseline="0"/>
                <a:t> garments, the cost for B and C is the same.</a:t>
              </a:r>
            </a:p>
            <a:p>
              <a:endParaRPr lang="en-US" sz="1600" baseline="0"/>
            </a:p>
            <a:p>
              <a:r>
                <a:rPr lang="en-US" sz="1600" baseline="0"/>
                <a:t>Crossover 2: Location B vs. Location A</a:t>
              </a:r>
            </a:p>
            <a:p>
              <a:r>
                <a:rPr lang="en-US" sz="1600" baseline="0"/>
                <a:t>This is the second crossover, where B is overtaken by A. (We skip D, since the graph shows it is never the cheapest).</a:t>
              </a:r>
            </a:p>
            <a:p>
              <a:r>
                <a:rPr lang="en-US" sz="1600" baseline="0"/>
                <a:t>B: </a:t>
              </a:r>
              <a:r>
                <a:rPr lang="en-US" sz="1600" b="0" i="0" baseline="0">
                  <a:latin typeface="Cambria Math" panose="02040503050406030204" pitchFamily="18" charset="0"/>
                </a:rPr>
                <a:t>170,000+25𝑉</a:t>
              </a:r>
              <a:endParaRPr lang="en-US" sz="1600" b="0" baseline="0"/>
            </a:p>
            <a:p>
              <a:r>
                <a:rPr lang="en-US" sz="1600"/>
                <a:t>A:</a:t>
              </a:r>
              <a:r>
                <a:rPr lang="en-US" sz="1600" baseline="0"/>
                <a:t> </a:t>
              </a:r>
              <a:r>
                <a:rPr lang="en-US" sz="1600" b="0" i="0" baseline="0">
                  <a:latin typeface="Cambria Math" panose="02040503050406030204" pitchFamily="18" charset="0"/>
                </a:rPr>
                <a:t>350,000+5𝑉</a:t>
              </a:r>
              <a:endParaRPr lang="en-US" sz="1600" b="0" baseline="0"/>
            </a:p>
            <a:p>
              <a:r>
                <a:rPr lang="en-US" sz="1600" b="0" i="0">
                  <a:latin typeface="Cambria Math" panose="02040503050406030204" pitchFamily="18" charset="0"/>
                </a:rPr>
                <a:t>170,000+25𝑉=350,000+5𝑉</a:t>
              </a:r>
              <a:endParaRPr lang="en-US" sz="1600" b="0"/>
            </a:p>
            <a:p>
              <a:r>
                <a:rPr lang="en-US" sz="1600" b="0" i="0">
                  <a:latin typeface="Cambria Math" panose="02040503050406030204" pitchFamily="18" charset="0"/>
                </a:rPr>
                <a:t>20𝑉=180,000</a:t>
              </a:r>
              <a:endParaRPr lang="en-US" sz="1600" b="0"/>
            </a:p>
            <a:p>
              <a:r>
                <a:rPr lang="en-US" sz="1600" b="0" i="0">
                  <a:latin typeface="Cambria Math" panose="02040503050406030204" pitchFamily="18" charset="0"/>
                </a:rPr>
                <a:t>𝑉=9,000</a:t>
              </a:r>
              <a:endParaRPr lang="en-US" sz="1600" b="0"/>
            </a:p>
            <a:p>
              <a:r>
                <a:rPr lang="en-US" sz="1600"/>
                <a:t>At</a:t>
              </a:r>
              <a:r>
                <a:rPr lang="en-US" sz="1600" baseline="0"/>
                <a:t> 9,000 garments, the cost for B and A is the same.</a:t>
              </a:r>
            </a:p>
            <a:p>
              <a:endParaRPr lang="en-US" sz="1600" baseline="0"/>
            </a:p>
            <a:p>
              <a:r>
                <a:rPr lang="en-US" sz="1600" baseline="0"/>
                <a:t>1. </a:t>
              </a:r>
              <a:r>
                <a:rPr lang="en-US" sz="1600" b="0" i="0" baseline="0">
                  <a:latin typeface="Cambria Math" panose="02040503050406030204" pitchFamily="18" charset="0"/>
                </a:rPr>
                <a:t>0−4,66\ 𝑔𝑎𝑟𝑚𝑒𝑛𝑡𝑠:𝐿𝑜𝑐𝑎𝑡𝑖𝑜𝑛 𝐶 𝑖𝑠 𝑐ℎ𝑒𝑎𝑝𝑒𝑠𝑡.</a:t>
              </a:r>
              <a:endParaRPr lang="en-US" sz="1600" b="0" baseline="0"/>
            </a:p>
            <a:p>
              <a:r>
                <a:rPr lang="en-US" sz="1600"/>
                <a:t>2. </a:t>
              </a:r>
              <a:r>
                <a:rPr lang="en-US" sz="1600" b="0" i="0">
                  <a:latin typeface="Cambria Math" panose="02040503050406030204" pitchFamily="18" charset="0"/>
                </a:rPr>
                <a:t>4,667−9,000 𝑔𝑎𝑟𝑚𝑒𝑛𝑡𝑠:𝐿𝑜𝑐𝑎𝑡𝑖𝑜𝑛 𝐵 𝑖𝑠 𝑐ℎ𝑒𝑎𝑝𝑒𝑠𝑡.</a:t>
              </a:r>
              <a:endParaRPr lang="en-US" sz="1600" b="0"/>
            </a:p>
            <a:p>
              <a:r>
                <a:rPr lang="en-US" sz="1600"/>
                <a:t>3. </a:t>
              </a:r>
              <a:r>
                <a:rPr lang="en-US" sz="1600" b="0" i="0">
                  <a:latin typeface="Cambria Math" panose="02040503050406030204" pitchFamily="18" charset="0"/>
                </a:rPr>
                <a:t>𝑂𝑣𝑒𝑟 9,000 𝑔𝑎𝑟𝑚𝑒𝑛𝑡𝑠:𝐿𝑜𝑐𝑎𝑡𝑖𝑜𝑛 𝐴 𝑖𝑠 𝑐ℎ𝑒𝑎𝑝𝑒𝑠𝑡.</a:t>
              </a:r>
              <a:endParaRPr lang="en-US" sz="1600"/>
            </a:p>
            <a:p>
              <a:endParaRPr lang="en-US" sz="1600"/>
            </a:p>
            <a:p>
              <a:r>
                <a:rPr lang="en-US" sz="1600"/>
                <a:t>Task was for 10,000, since 10,000 is in</a:t>
              </a:r>
              <a:r>
                <a:rPr lang="en-US" sz="1600" baseline="0"/>
                <a:t> the "Over 9,000" range, Location A is the best choice. </a:t>
              </a:r>
              <a:endParaRPr lang="en-US" sz="1600"/>
            </a:p>
          </xdr:txBody>
        </xdr:sp>
      </mc:Fallback>
    </mc:AlternateContent>
    <xdr:clientData/>
  </xdr:twoCellAnchor>
  <xdr:twoCellAnchor>
    <xdr:from>
      <xdr:col>0</xdr:col>
      <xdr:colOff>246529</xdr:colOff>
      <xdr:row>30</xdr:row>
      <xdr:rowOff>56029</xdr:rowOff>
    </xdr:from>
    <xdr:to>
      <xdr:col>6</xdr:col>
      <xdr:colOff>358588</xdr:colOff>
      <xdr:row>35</xdr:row>
      <xdr:rowOff>22412</xdr:rowOff>
    </xdr:to>
    <xdr:sp macro="" textlink="">
      <xdr:nvSpPr>
        <xdr:cNvPr id="4" name="TextBox 3"/>
        <xdr:cNvSpPr txBox="1"/>
      </xdr:nvSpPr>
      <xdr:spPr>
        <a:xfrm>
          <a:off x="246529" y="5771029"/>
          <a:ext cx="4784912" cy="9188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EF431L Industrial Facilities Design</a:t>
          </a:r>
        </a:p>
        <a:p>
          <a:r>
            <a:rPr lang="en-US" sz="1100"/>
            <a:t>Lab 03:</a:t>
          </a:r>
          <a:r>
            <a:rPr lang="en-US" sz="1100" baseline="0"/>
            <a:t> Task 01</a:t>
          </a:r>
        </a:p>
        <a:p>
          <a:r>
            <a:rPr lang="en-US" sz="1100" baseline="0"/>
            <a:t>Mohammad Abubakar Atiq, BSIE, F2022031002</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16</xdr:row>
      <xdr:rowOff>95250</xdr:rowOff>
    </xdr:from>
    <xdr:to>
      <xdr:col>4</xdr:col>
      <xdr:colOff>847725</xdr:colOff>
      <xdr:row>30</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58272</xdr:colOff>
      <xdr:row>0</xdr:row>
      <xdr:rowOff>114299</xdr:rowOff>
    </xdr:from>
    <xdr:to>
      <xdr:col>14</xdr:col>
      <xdr:colOff>317500</xdr:colOff>
      <xdr:row>32</xdr:row>
      <xdr:rowOff>112058</xdr:rowOff>
    </xdr:to>
    <mc:AlternateContent xmlns:mc="http://schemas.openxmlformats.org/markup-compatibility/2006">
      <mc:Choice xmlns:a14="http://schemas.microsoft.com/office/drawing/2010/main" Requires="a14">
        <xdr:sp macro="" textlink="">
          <xdr:nvSpPr>
            <xdr:cNvPr id="3" name="TextBox 2"/>
            <xdr:cNvSpPr txBox="1"/>
          </xdr:nvSpPr>
          <xdr:spPr>
            <a:xfrm>
              <a:off x="5503397" y="114299"/>
              <a:ext cx="5085228" cy="60937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1. Crossover:</a:t>
              </a:r>
              <a:r>
                <a:rPr lang="en-US" sz="1600" baseline="0"/>
                <a:t> Akron vs. Bowling Green</a:t>
              </a:r>
            </a:p>
            <a:p>
              <a:r>
                <a:rPr lang="en-US" sz="1600" baseline="0"/>
                <a:t>Akron: </a:t>
              </a:r>
              <a14:m>
                <m:oMath xmlns:m="http://schemas.openxmlformats.org/officeDocument/2006/math">
                  <m:r>
                    <a:rPr lang="en-US" sz="1600" b="0" i="1" baseline="0">
                      <a:latin typeface="Cambria Math" panose="02040503050406030204" pitchFamily="18" charset="0"/>
                    </a:rPr>
                    <m:t>30,000+75</m:t>
                  </m:r>
                  <m:r>
                    <a:rPr lang="en-US" sz="1600" b="0" i="1" baseline="0">
                      <a:latin typeface="Cambria Math" panose="02040503050406030204" pitchFamily="18" charset="0"/>
                    </a:rPr>
                    <m:t>𝑉</m:t>
                  </m:r>
                </m:oMath>
              </a14:m>
              <a:endParaRPr lang="en-US" sz="1600" b="0" baseline="0"/>
            </a:p>
            <a:p>
              <a:r>
                <a:rPr lang="en-US" sz="1600" baseline="0"/>
                <a:t>Bowling Green: </a:t>
              </a:r>
              <a14:m>
                <m:oMath xmlns:m="http://schemas.openxmlformats.org/officeDocument/2006/math">
                  <m:r>
                    <a:rPr lang="en-US" sz="1600" b="0" i="1" baseline="0">
                      <a:latin typeface="Cambria Math" panose="02040503050406030204" pitchFamily="18" charset="0"/>
                    </a:rPr>
                    <m:t>60,000+45</m:t>
                  </m:r>
                  <m:r>
                    <a:rPr lang="en-US" sz="1600" b="0" i="1" baseline="0">
                      <a:latin typeface="Cambria Math" panose="02040503050406030204" pitchFamily="18" charset="0"/>
                    </a:rPr>
                    <m:t>𝑉</m:t>
                  </m:r>
                </m:oMath>
              </a14:m>
              <a:endParaRPr lang="en-US" sz="1600" b="0" baseline="0"/>
            </a:p>
            <a:p>
              <a14:m>
                <m:oMathPara xmlns:m="http://schemas.openxmlformats.org/officeDocument/2006/math">
                  <m:oMathParaPr>
                    <m:jc m:val="centerGroup"/>
                  </m:oMathParaPr>
                  <m:oMath xmlns:m="http://schemas.openxmlformats.org/officeDocument/2006/math">
                    <m:r>
                      <a:rPr lang="en-US" sz="1600" b="0" i="1" baseline="0">
                        <a:latin typeface="Cambria Math" panose="02040503050406030204" pitchFamily="18" charset="0"/>
                      </a:rPr>
                      <m:t>30,000+75</m:t>
                    </m:r>
                    <m:r>
                      <a:rPr lang="en-US" sz="1600" b="0" i="1" baseline="0">
                        <a:latin typeface="Cambria Math" panose="02040503050406030204" pitchFamily="18" charset="0"/>
                      </a:rPr>
                      <m:t>𝑉</m:t>
                    </m:r>
                    <m:r>
                      <a:rPr lang="en-US" sz="1600" b="0" i="1" baseline="0">
                        <a:latin typeface="Cambria Math" panose="02040503050406030204" pitchFamily="18" charset="0"/>
                      </a:rPr>
                      <m:t>=60,000+45</m:t>
                    </m:r>
                    <m:r>
                      <a:rPr lang="en-US" sz="1600" b="0" i="1" baseline="0">
                        <a:latin typeface="Cambria Math" panose="02040503050406030204" pitchFamily="18" charset="0"/>
                      </a:rPr>
                      <m:t>𝑉</m:t>
                    </m:r>
                  </m:oMath>
                </m:oMathPara>
              </a14:m>
              <a:endParaRPr lang="en-US" sz="1600" b="0" baseline="0"/>
            </a:p>
            <a:p>
              <a14:m>
                <m:oMathPara xmlns:m="http://schemas.openxmlformats.org/officeDocument/2006/math">
                  <m:oMathParaPr>
                    <m:jc m:val="centerGroup"/>
                  </m:oMathParaPr>
                  <m:oMath xmlns:m="http://schemas.openxmlformats.org/officeDocument/2006/math">
                    <m:r>
                      <a:rPr lang="en-US" sz="1600" b="0" i="1" baseline="0">
                        <a:latin typeface="Cambria Math" panose="02040503050406030204" pitchFamily="18" charset="0"/>
                      </a:rPr>
                      <m:t>75</m:t>
                    </m:r>
                    <m:r>
                      <a:rPr lang="en-US" sz="1600" b="0" i="1" baseline="0">
                        <a:latin typeface="Cambria Math" panose="02040503050406030204" pitchFamily="18" charset="0"/>
                      </a:rPr>
                      <m:t>𝑉</m:t>
                    </m:r>
                    <m:r>
                      <a:rPr lang="en-US" sz="1600" b="0" i="1" baseline="0">
                        <a:latin typeface="Cambria Math" panose="02040503050406030204" pitchFamily="18" charset="0"/>
                      </a:rPr>
                      <m:t>−45</m:t>
                    </m:r>
                    <m:r>
                      <a:rPr lang="en-US" sz="1600" b="0" i="1" baseline="0">
                        <a:latin typeface="Cambria Math" panose="02040503050406030204" pitchFamily="18" charset="0"/>
                      </a:rPr>
                      <m:t>𝑉</m:t>
                    </m:r>
                    <m:r>
                      <a:rPr lang="en-US" sz="1600" b="0" i="1" baseline="0">
                        <a:latin typeface="Cambria Math" panose="02040503050406030204" pitchFamily="18" charset="0"/>
                      </a:rPr>
                      <m:t>=60,000−30,000</m:t>
                    </m:r>
                  </m:oMath>
                </m:oMathPara>
              </a14:m>
              <a:endParaRPr lang="en-US" sz="1600" b="0" baseline="0"/>
            </a:p>
            <a:p>
              <a14:m>
                <m:oMathPara xmlns:m="http://schemas.openxmlformats.org/officeDocument/2006/math">
                  <m:oMathParaPr>
                    <m:jc m:val="centerGroup"/>
                  </m:oMathParaPr>
                  <m:oMath xmlns:m="http://schemas.openxmlformats.org/officeDocument/2006/math">
                    <m:r>
                      <a:rPr lang="en-US" sz="1600" b="0" i="1" baseline="0">
                        <a:latin typeface="Cambria Math" panose="02040503050406030204" pitchFamily="18" charset="0"/>
                      </a:rPr>
                      <m:t>30</m:t>
                    </m:r>
                    <m:r>
                      <a:rPr lang="en-US" sz="1600" b="0" i="1" baseline="0">
                        <a:latin typeface="Cambria Math" panose="02040503050406030204" pitchFamily="18" charset="0"/>
                      </a:rPr>
                      <m:t>𝑉</m:t>
                    </m:r>
                    <m:r>
                      <a:rPr lang="en-US" sz="1600" b="0" i="1" baseline="0">
                        <a:latin typeface="Cambria Math" panose="02040503050406030204" pitchFamily="18" charset="0"/>
                      </a:rPr>
                      <m:t>=30,000</m:t>
                    </m:r>
                  </m:oMath>
                </m:oMathPara>
              </a14:m>
              <a:endParaRPr lang="en-US" sz="1600" b="0" baseline="0"/>
            </a:p>
            <a:p>
              <a14:m>
                <m:oMathPara xmlns:m="http://schemas.openxmlformats.org/officeDocument/2006/math">
                  <m:oMathParaPr>
                    <m:jc m:val="centerGroup"/>
                  </m:oMathParaPr>
                  <m:oMath xmlns:m="http://schemas.openxmlformats.org/officeDocument/2006/math">
                    <m:r>
                      <a:rPr lang="en-US" sz="1600" b="0" i="1" baseline="0">
                        <a:latin typeface="Cambria Math" panose="02040503050406030204" pitchFamily="18" charset="0"/>
                      </a:rPr>
                      <m:t>𝑉</m:t>
                    </m:r>
                    <m:r>
                      <a:rPr lang="en-US" sz="1600" b="0" i="1" baseline="0">
                        <a:latin typeface="Cambria Math" panose="02040503050406030204" pitchFamily="18" charset="0"/>
                      </a:rPr>
                      <m:t>=1,000</m:t>
                    </m:r>
                  </m:oMath>
                </m:oMathPara>
              </a14:m>
              <a:endParaRPr lang="en-US" sz="1600" b="0" baseline="0"/>
            </a:p>
            <a:p>
              <a:r>
                <a:rPr lang="en-US" sz="1600" baseline="0"/>
                <a:t>This means at exactly 1,000 cases, Akron and Bowling Green have the same total cost. (See graph)</a:t>
              </a:r>
            </a:p>
            <a:p>
              <a:r>
                <a:rPr lang="en-US" sz="1600" baseline="0"/>
                <a:t>2. Crossover: Bowling Green vs. Chicago</a:t>
              </a:r>
            </a:p>
            <a:p>
              <a:r>
                <a:rPr lang="en-US" sz="1600" baseline="0"/>
                <a:t>Bowling Green: </a:t>
              </a:r>
              <a14:m>
                <m:oMath xmlns:m="http://schemas.openxmlformats.org/officeDocument/2006/math">
                  <m:r>
                    <a:rPr lang="en-US" sz="1600" b="0" i="1" baseline="0">
                      <a:latin typeface="Cambria Math" panose="02040503050406030204" pitchFamily="18" charset="0"/>
                    </a:rPr>
                    <m:t>60,000+45</m:t>
                  </m:r>
                  <m:r>
                    <a:rPr lang="en-US" sz="1600" b="0" i="1" baseline="0">
                      <a:latin typeface="Cambria Math" panose="02040503050406030204" pitchFamily="18" charset="0"/>
                    </a:rPr>
                    <m:t>𝑉</m:t>
                  </m:r>
                </m:oMath>
              </a14:m>
              <a:endParaRPr lang="en-US" sz="1600" b="0" baseline="0"/>
            </a:p>
            <a:p>
              <a:r>
                <a:rPr lang="en-US" sz="1600" baseline="0"/>
                <a:t>Chicago: </a:t>
              </a:r>
              <a14:m>
                <m:oMath xmlns:m="http://schemas.openxmlformats.org/officeDocument/2006/math">
                  <m:r>
                    <a:rPr lang="en-US" sz="1600" b="0" i="1" baseline="0">
                      <a:latin typeface="Cambria Math" panose="02040503050406030204" pitchFamily="18" charset="0"/>
                    </a:rPr>
                    <m:t>110,000+25</m:t>
                  </m:r>
                  <m:r>
                    <a:rPr lang="en-US" sz="1600" b="0" i="1" baseline="0">
                      <a:latin typeface="Cambria Math" panose="02040503050406030204" pitchFamily="18" charset="0"/>
                    </a:rPr>
                    <m:t>𝑉</m:t>
                  </m:r>
                </m:oMath>
              </a14:m>
              <a:endParaRPr lang="en-US" sz="1600" b="0" baseline="0"/>
            </a:p>
            <a:p>
              <a14:m>
                <m:oMathPara xmlns:m="http://schemas.openxmlformats.org/officeDocument/2006/math">
                  <m:oMathParaPr>
                    <m:jc m:val="centerGroup"/>
                  </m:oMathParaPr>
                  <m:oMath xmlns:m="http://schemas.openxmlformats.org/officeDocument/2006/math">
                    <m:r>
                      <a:rPr lang="en-US" sz="1600" b="0" i="1" baseline="0">
                        <a:latin typeface="Cambria Math" panose="02040503050406030204" pitchFamily="18" charset="0"/>
                      </a:rPr>
                      <m:t>60,000+45</m:t>
                    </m:r>
                    <m:r>
                      <a:rPr lang="en-US" sz="1600" b="0" i="1" baseline="0">
                        <a:latin typeface="Cambria Math" panose="02040503050406030204" pitchFamily="18" charset="0"/>
                      </a:rPr>
                      <m:t>𝑉</m:t>
                    </m:r>
                    <m:r>
                      <a:rPr lang="en-US" sz="1600" b="0" i="1" baseline="0">
                        <a:latin typeface="Cambria Math" panose="02040503050406030204" pitchFamily="18" charset="0"/>
                      </a:rPr>
                      <m:t>=110,000+25</m:t>
                    </m:r>
                    <m:r>
                      <a:rPr lang="en-US" sz="1600" b="0" i="1" baseline="0">
                        <a:latin typeface="Cambria Math" panose="02040503050406030204" pitchFamily="18" charset="0"/>
                      </a:rPr>
                      <m:t>𝑉</m:t>
                    </m:r>
                  </m:oMath>
                </m:oMathPara>
              </a14:m>
              <a:endParaRPr lang="en-US" sz="1600" b="0" baseline="0"/>
            </a:p>
            <a:p>
              <a14:m>
                <m:oMathPara xmlns:m="http://schemas.openxmlformats.org/officeDocument/2006/math">
                  <m:oMathParaPr>
                    <m:jc m:val="centerGroup"/>
                  </m:oMathParaPr>
                  <m:oMath xmlns:m="http://schemas.openxmlformats.org/officeDocument/2006/math">
                    <m:r>
                      <a:rPr lang="en-US" sz="1600" b="0" i="1" baseline="0">
                        <a:latin typeface="Cambria Math" panose="02040503050406030204" pitchFamily="18" charset="0"/>
                      </a:rPr>
                      <m:t>45</m:t>
                    </m:r>
                    <m:r>
                      <a:rPr lang="en-US" sz="1600" b="0" i="1" baseline="0">
                        <a:latin typeface="Cambria Math" panose="02040503050406030204" pitchFamily="18" charset="0"/>
                      </a:rPr>
                      <m:t>𝑉</m:t>
                    </m:r>
                    <m:r>
                      <a:rPr lang="en-US" sz="1600" b="0" i="1" baseline="0">
                        <a:latin typeface="Cambria Math" panose="02040503050406030204" pitchFamily="18" charset="0"/>
                      </a:rPr>
                      <m:t>−25</m:t>
                    </m:r>
                    <m:r>
                      <a:rPr lang="en-US" sz="1600" b="0" i="1" baseline="0">
                        <a:latin typeface="Cambria Math" panose="02040503050406030204" pitchFamily="18" charset="0"/>
                      </a:rPr>
                      <m:t>𝑉</m:t>
                    </m:r>
                    <m:r>
                      <a:rPr lang="en-US" sz="1600" b="0" i="1" baseline="0">
                        <a:latin typeface="Cambria Math" panose="02040503050406030204" pitchFamily="18" charset="0"/>
                      </a:rPr>
                      <m:t>=110,000−60,000</m:t>
                    </m:r>
                  </m:oMath>
                </m:oMathPara>
              </a14:m>
              <a:endParaRPr lang="en-US" sz="1600" b="0" baseline="0"/>
            </a:p>
            <a:p>
              <a14:m>
                <m:oMathPara xmlns:m="http://schemas.openxmlformats.org/officeDocument/2006/math">
                  <m:oMathParaPr>
                    <m:jc m:val="centerGroup"/>
                  </m:oMathParaPr>
                  <m:oMath xmlns:m="http://schemas.openxmlformats.org/officeDocument/2006/math">
                    <m:r>
                      <a:rPr lang="en-US" sz="1600" b="0" i="1" baseline="0">
                        <a:latin typeface="Cambria Math" panose="02040503050406030204" pitchFamily="18" charset="0"/>
                      </a:rPr>
                      <m:t>20</m:t>
                    </m:r>
                    <m:r>
                      <a:rPr lang="en-US" sz="1600" b="0" i="1" baseline="0">
                        <a:latin typeface="Cambria Math" panose="02040503050406030204" pitchFamily="18" charset="0"/>
                      </a:rPr>
                      <m:t>𝑉</m:t>
                    </m:r>
                    <m:r>
                      <a:rPr lang="en-US" sz="1600" b="0" i="1" baseline="0">
                        <a:latin typeface="Cambria Math" panose="02040503050406030204" pitchFamily="18" charset="0"/>
                      </a:rPr>
                      <m:t>=50,000</m:t>
                    </m:r>
                  </m:oMath>
                </m:oMathPara>
              </a14:m>
              <a:endParaRPr lang="en-US" sz="1600" b="0" baseline="0"/>
            </a:p>
            <a:p>
              <a14:m>
                <m:oMathPara xmlns:m="http://schemas.openxmlformats.org/officeDocument/2006/math">
                  <m:oMathParaPr>
                    <m:jc m:val="centerGroup"/>
                  </m:oMathParaPr>
                  <m:oMath xmlns:m="http://schemas.openxmlformats.org/officeDocument/2006/math">
                    <m:r>
                      <a:rPr lang="en-US" sz="1600" b="0" i="1" baseline="0">
                        <a:latin typeface="Cambria Math" panose="02040503050406030204" pitchFamily="18" charset="0"/>
                      </a:rPr>
                      <m:t>𝑉</m:t>
                    </m:r>
                    <m:r>
                      <a:rPr lang="en-US" sz="1600" b="0" i="1" baseline="0">
                        <a:latin typeface="Cambria Math" panose="02040503050406030204" pitchFamily="18" charset="0"/>
                      </a:rPr>
                      <m:t>=2,500</m:t>
                    </m:r>
                  </m:oMath>
                </m:oMathPara>
              </a14:m>
              <a:endParaRPr lang="en-US" sz="1600" baseline="0"/>
            </a:p>
            <a:p>
              <a:r>
                <a:rPr lang="en-US" sz="1600" baseline="0"/>
                <a:t>This means at exactly 2,500 cases, Bowling Green and Chicago have the same total cost. (See graph)</a:t>
              </a:r>
            </a:p>
            <a:p>
              <a:r>
                <a:rPr lang="en-US" sz="1600" baseline="0"/>
                <a:t>1. </a:t>
              </a:r>
              <a14:m>
                <m:oMath xmlns:m="http://schemas.openxmlformats.org/officeDocument/2006/math">
                  <m:r>
                    <a:rPr lang="en-US" sz="1600" b="0" i="1" baseline="0">
                      <a:latin typeface="Cambria Math" panose="02040503050406030204" pitchFamily="18" charset="0"/>
                    </a:rPr>
                    <m:t>0−1,000 </m:t>
                  </m:r>
                  <m:r>
                    <a:rPr lang="en-US" sz="1600" b="0" i="1" baseline="0">
                      <a:latin typeface="Cambria Math" panose="02040503050406030204" pitchFamily="18" charset="0"/>
                    </a:rPr>
                    <m:t>𝑐𝑎𝑠𝑒𝑠</m:t>
                  </m:r>
                  <m:r>
                    <a:rPr lang="en-US" sz="1600" b="0" i="1" baseline="0">
                      <a:latin typeface="Cambria Math" panose="02040503050406030204" pitchFamily="18" charset="0"/>
                    </a:rPr>
                    <m:t>:</m:t>
                  </m:r>
                  <m:r>
                    <a:rPr lang="en-US" sz="1600" b="0" i="1" baseline="0">
                      <a:latin typeface="Cambria Math" panose="02040503050406030204" pitchFamily="18" charset="0"/>
                    </a:rPr>
                    <m:t>𝐴𝑘𝑟𝑜𝑛</m:t>
                  </m:r>
                  <m:r>
                    <a:rPr lang="en-US" sz="1600" b="0" i="1" baseline="0">
                      <a:latin typeface="Cambria Math" panose="02040503050406030204" pitchFamily="18" charset="0"/>
                    </a:rPr>
                    <m:t> </m:t>
                  </m:r>
                  <m:r>
                    <a:rPr lang="en-US" sz="1600" b="0" i="1" baseline="0">
                      <a:latin typeface="Cambria Math" panose="02040503050406030204" pitchFamily="18" charset="0"/>
                    </a:rPr>
                    <m:t>𝑖𝑠</m:t>
                  </m:r>
                  <m:r>
                    <a:rPr lang="en-US" sz="1600" b="0" i="1" baseline="0">
                      <a:latin typeface="Cambria Math" panose="02040503050406030204" pitchFamily="18" charset="0"/>
                    </a:rPr>
                    <m:t> </m:t>
                  </m:r>
                  <m:r>
                    <a:rPr lang="en-US" sz="1600" b="0" i="1" baseline="0">
                      <a:latin typeface="Cambria Math" panose="02040503050406030204" pitchFamily="18" charset="0"/>
                    </a:rPr>
                    <m:t>𝑐h𝑒𝑎𝑝𝑒𝑠𝑡</m:t>
                  </m:r>
                  <m:r>
                    <a:rPr lang="en-US" sz="1600" b="0" i="1" baseline="0">
                      <a:latin typeface="Cambria Math" panose="02040503050406030204" pitchFamily="18" charset="0"/>
                    </a:rPr>
                    <m:t>.</m:t>
                  </m:r>
                </m:oMath>
              </a14:m>
              <a:endParaRPr lang="en-US" sz="1600" baseline="0"/>
            </a:p>
            <a:p>
              <a:r>
                <a:rPr lang="en-US" sz="1600" baseline="0"/>
                <a:t>2. </a:t>
              </a:r>
              <a14:m>
                <m:oMath xmlns:m="http://schemas.openxmlformats.org/officeDocument/2006/math">
                  <m:r>
                    <a:rPr lang="en-US" sz="1600" b="0" i="1" baseline="0">
                      <a:latin typeface="Cambria Math" panose="02040503050406030204" pitchFamily="18" charset="0"/>
                    </a:rPr>
                    <m:t>1,000 −2,500 </m:t>
                  </m:r>
                  <m:r>
                    <a:rPr lang="en-US" sz="1600" b="0" i="1" baseline="0">
                      <a:latin typeface="Cambria Math" panose="02040503050406030204" pitchFamily="18" charset="0"/>
                    </a:rPr>
                    <m:t>𝑐𝑎𝑠𝑒𝑠</m:t>
                  </m:r>
                  <m:r>
                    <a:rPr lang="en-US" sz="1600" b="0" i="1" baseline="0">
                      <a:latin typeface="Cambria Math" panose="02040503050406030204" pitchFamily="18" charset="0"/>
                    </a:rPr>
                    <m:t>:</m:t>
                  </m:r>
                  <m:r>
                    <a:rPr lang="en-US" sz="1600" b="0" i="1" baseline="0">
                      <a:latin typeface="Cambria Math" panose="02040503050406030204" pitchFamily="18" charset="0"/>
                    </a:rPr>
                    <m:t>𝐵𝑜𝑤𝑙𝑖𝑛𝑔</m:t>
                  </m:r>
                  <m:r>
                    <a:rPr lang="en-US" sz="1600" b="0" i="1" baseline="0">
                      <a:latin typeface="Cambria Math" panose="02040503050406030204" pitchFamily="18" charset="0"/>
                    </a:rPr>
                    <m:t> </m:t>
                  </m:r>
                  <m:r>
                    <a:rPr lang="en-US" sz="1600" b="0" i="1" baseline="0">
                      <a:latin typeface="Cambria Math" panose="02040503050406030204" pitchFamily="18" charset="0"/>
                    </a:rPr>
                    <m:t>𝐺𝑟𝑒𝑒𝑛</m:t>
                  </m:r>
                  <m:r>
                    <a:rPr lang="en-US" sz="1600" b="0" i="1" baseline="0">
                      <a:latin typeface="Cambria Math" panose="02040503050406030204" pitchFamily="18" charset="0"/>
                    </a:rPr>
                    <m:t> </m:t>
                  </m:r>
                  <m:r>
                    <a:rPr lang="en-US" sz="1600" b="0" i="1" baseline="0">
                      <a:latin typeface="Cambria Math" panose="02040503050406030204" pitchFamily="18" charset="0"/>
                    </a:rPr>
                    <m:t>𝑖𝑠</m:t>
                  </m:r>
                  <m:r>
                    <a:rPr lang="en-US" sz="1600" b="0" i="1" baseline="0">
                      <a:latin typeface="Cambria Math" panose="02040503050406030204" pitchFamily="18" charset="0"/>
                    </a:rPr>
                    <m:t> </m:t>
                  </m:r>
                  <m:r>
                    <a:rPr lang="en-US" sz="1600" b="0" i="1" baseline="0">
                      <a:latin typeface="Cambria Math" panose="02040503050406030204" pitchFamily="18" charset="0"/>
                    </a:rPr>
                    <m:t>𝑐h𝑒𝑎𝑝𝑒𝑠𝑡</m:t>
                  </m:r>
                  <m:r>
                    <a:rPr lang="en-US" sz="1600" b="0" i="1" baseline="0">
                      <a:latin typeface="Cambria Math" panose="02040503050406030204" pitchFamily="18" charset="0"/>
                    </a:rPr>
                    <m:t>.</m:t>
                  </m:r>
                </m:oMath>
              </a14:m>
              <a:endParaRPr lang="en-US" sz="1600" baseline="0"/>
            </a:p>
            <a:p>
              <a:r>
                <a:rPr lang="en-US" sz="1600" baseline="0"/>
                <a:t>3. </a:t>
              </a:r>
              <a14:m>
                <m:oMath xmlns:m="http://schemas.openxmlformats.org/officeDocument/2006/math">
                  <m:r>
                    <a:rPr lang="en-US" sz="1600" b="0" i="1" baseline="0">
                      <a:latin typeface="Cambria Math" panose="02040503050406030204" pitchFamily="18" charset="0"/>
                    </a:rPr>
                    <m:t>𝑂𝑣𝑒𝑟</m:t>
                  </m:r>
                  <m:r>
                    <a:rPr lang="en-US" sz="1600" b="0" i="1" baseline="0">
                      <a:latin typeface="Cambria Math" panose="02040503050406030204" pitchFamily="18" charset="0"/>
                    </a:rPr>
                    <m:t> 2,500 </m:t>
                  </m:r>
                  <m:r>
                    <a:rPr lang="en-US" sz="1600" b="0" i="1" baseline="0">
                      <a:latin typeface="Cambria Math" panose="02040503050406030204" pitchFamily="18" charset="0"/>
                    </a:rPr>
                    <m:t>𝑐𝑎𝑠𝑒𝑠</m:t>
                  </m:r>
                  <m:r>
                    <a:rPr lang="en-US" sz="1600" b="0" i="1" baseline="0">
                      <a:latin typeface="Cambria Math" panose="02040503050406030204" pitchFamily="18" charset="0"/>
                    </a:rPr>
                    <m:t>:</m:t>
                  </m:r>
                  <m:r>
                    <a:rPr lang="en-US" sz="1600" b="0" i="1" baseline="0">
                      <a:latin typeface="Cambria Math" panose="02040503050406030204" pitchFamily="18" charset="0"/>
                    </a:rPr>
                    <m:t>𝐶h𝑖𝑐𝑎𝑔𝑜</m:t>
                  </m:r>
                  <m:r>
                    <a:rPr lang="en-US" sz="1600" b="0" i="1" baseline="0">
                      <a:latin typeface="Cambria Math" panose="02040503050406030204" pitchFamily="18" charset="0"/>
                    </a:rPr>
                    <m:t> </m:t>
                  </m:r>
                  <m:r>
                    <a:rPr lang="en-US" sz="1600" b="0" i="1" baseline="0">
                      <a:latin typeface="Cambria Math" panose="02040503050406030204" pitchFamily="18" charset="0"/>
                    </a:rPr>
                    <m:t>𝑖𝑠</m:t>
                  </m:r>
                  <m:r>
                    <a:rPr lang="en-US" sz="1600" b="0" i="1" baseline="0">
                      <a:latin typeface="Cambria Math" panose="02040503050406030204" pitchFamily="18" charset="0"/>
                    </a:rPr>
                    <m:t> </m:t>
                  </m:r>
                  <m:r>
                    <a:rPr lang="en-US" sz="1600" b="0" i="1" baseline="0">
                      <a:latin typeface="Cambria Math" panose="02040503050406030204" pitchFamily="18" charset="0"/>
                    </a:rPr>
                    <m:t>𝑐h𝑒𝑎𝑝𝑒𝑠𝑡</m:t>
                  </m:r>
                  <m:r>
                    <a:rPr lang="en-US" sz="1600" b="0" i="1" baseline="0">
                      <a:latin typeface="Cambria Math" panose="02040503050406030204" pitchFamily="18" charset="0"/>
                    </a:rPr>
                    <m:t>.</m:t>
                  </m:r>
                </m:oMath>
              </a14:m>
              <a:endParaRPr lang="en-US" sz="1600" baseline="0"/>
            </a:p>
            <a:p>
              <a:endParaRPr lang="en-US" sz="1400" baseline="0"/>
            </a:p>
          </xdr:txBody>
        </xdr:sp>
      </mc:Choice>
      <mc:Fallback>
        <xdr:sp macro="" textlink="">
          <xdr:nvSpPr>
            <xdr:cNvPr id="3" name="TextBox 2"/>
            <xdr:cNvSpPr txBox="1"/>
          </xdr:nvSpPr>
          <xdr:spPr>
            <a:xfrm>
              <a:off x="5503397" y="114299"/>
              <a:ext cx="5085228" cy="60937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1. Crossover:</a:t>
              </a:r>
              <a:r>
                <a:rPr lang="en-US" sz="1600" baseline="0"/>
                <a:t> Akron vs. Bowling Green</a:t>
              </a:r>
            </a:p>
            <a:p>
              <a:r>
                <a:rPr lang="en-US" sz="1600" baseline="0"/>
                <a:t>Akron: </a:t>
              </a:r>
              <a:r>
                <a:rPr lang="en-US" sz="1600" b="0" i="0" baseline="0">
                  <a:latin typeface="Cambria Math" panose="02040503050406030204" pitchFamily="18" charset="0"/>
                </a:rPr>
                <a:t>30,000+75𝑉</a:t>
              </a:r>
              <a:endParaRPr lang="en-US" sz="1600" b="0" baseline="0"/>
            </a:p>
            <a:p>
              <a:r>
                <a:rPr lang="en-US" sz="1600" baseline="0"/>
                <a:t>Bowling Green: </a:t>
              </a:r>
              <a:r>
                <a:rPr lang="en-US" sz="1600" b="0" i="0" baseline="0">
                  <a:latin typeface="Cambria Math" panose="02040503050406030204" pitchFamily="18" charset="0"/>
                </a:rPr>
                <a:t>60,000+45𝑉</a:t>
              </a:r>
              <a:endParaRPr lang="en-US" sz="1600" b="0" baseline="0"/>
            </a:p>
            <a:p>
              <a:r>
                <a:rPr lang="en-US" sz="1600" b="0" i="0" baseline="0">
                  <a:latin typeface="Cambria Math" panose="02040503050406030204" pitchFamily="18" charset="0"/>
                </a:rPr>
                <a:t>30,000+75𝑉=60,000+45𝑉</a:t>
              </a:r>
              <a:endParaRPr lang="en-US" sz="1600" b="0" baseline="0"/>
            </a:p>
            <a:p>
              <a:r>
                <a:rPr lang="en-US" sz="1600" b="0" i="0" baseline="0">
                  <a:latin typeface="Cambria Math" panose="02040503050406030204" pitchFamily="18" charset="0"/>
                </a:rPr>
                <a:t>75𝑉−45𝑉=60,000−30,000</a:t>
              </a:r>
              <a:endParaRPr lang="en-US" sz="1600" b="0" baseline="0"/>
            </a:p>
            <a:p>
              <a:r>
                <a:rPr lang="en-US" sz="1600" b="0" i="0" baseline="0">
                  <a:latin typeface="Cambria Math" panose="02040503050406030204" pitchFamily="18" charset="0"/>
                </a:rPr>
                <a:t>30𝑉=30,000</a:t>
              </a:r>
              <a:endParaRPr lang="en-US" sz="1600" b="0" baseline="0"/>
            </a:p>
            <a:p>
              <a:r>
                <a:rPr lang="en-US" sz="1600" b="0" i="0" baseline="0">
                  <a:latin typeface="Cambria Math" panose="02040503050406030204" pitchFamily="18" charset="0"/>
                </a:rPr>
                <a:t>𝑉=1,000</a:t>
              </a:r>
              <a:endParaRPr lang="en-US" sz="1600" b="0" baseline="0"/>
            </a:p>
            <a:p>
              <a:r>
                <a:rPr lang="en-US" sz="1600" baseline="0"/>
                <a:t>This means at exactly 1,000 cases, Akron and Bowling Green have the same total cost. (See graph)</a:t>
              </a:r>
            </a:p>
            <a:p>
              <a:r>
                <a:rPr lang="en-US" sz="1600" baseline="0"/>
                <a:t>2. Crossover: Bowling Green vs. Chicago</a:t>
              </a:r>
            </a:p>
            <a:p>
              <a:r>
                <a:rPr lang="en-US" sz="1600" baseline="0"/>
                <a:t>Bowling Green: </a:t>
              </a:r>
              <a:r>
                <a:rPr lang="en-US" sz="1600" b="0" i="0" baseline="0">
                  <a:latin typeface="Cambria Math" panose="02040503050406030204" pitchFamily="18" charset="0"/>
                </a:rPr>
                <a:t>60,000+45𝑉</a:t>
              </a:r>
              <a:endParaRPr lang="en-US" sz="1600" b="0" baseline="0"/>
            </a:p>
            <a:p>
              <a:r>
                <a:rPr lang="en-US" sz="1600" baseline="0"/>
                <a:t>Chicago: </a:t>
              </a:r>
              <a:r>
                <a:rPr lang="en-US" sz="1600" b="0" i="0" baseline="0">
                  <a:latin typeface="Cambria Math" panose="02040503050406030204" pitchFamily="18" charset="0"/>
                </a:rPr>
                <a:t>110,000+25𝑉</a:t>
              </a:r>
              <a:endParaRPr lang="en-US" sz="1600" b="0" baseline="0"/>
            </a:p>
            <a:p>
              <a:r>
                <a:rPr lang="en-US" sz="1600" b="0" i="0" baseline="0">
                  <a:latin typeface="Cambria Math" panose="02040503050406030204" pitchFamily="18" charset="0"/>
                </a:rPr>
                <a:t>60,000+45𝑉=110,000+25𝑉</a:t>
              </a:r>
              <a:endParaRPr lang="en-US" sz="1600" b="0" baseline="0"/>
            </a:p>
            <a:p>
              <a:r>
                <a:rPr lang="en-US" sz="1600" b="0" i="0" baseline="0">
                  <a:latin typeface="Cambria Math" panose="02040503050406030204" pitchFamily="18" charset="0"/>
                </a:rPr>
                <a:t>45𝑉−25𝑉=110,000−60,000</a:t>
              </a:r>
              <a:endParaRPr lang="en-US" sz="1600" b="0" baseline="0"/>
            </a:p>
            <a:p>
              <a:r>
                <a:rPr lang="en-US" sz="1600" b="0" i="0" baseline="0">
                  <a:latin typeface="Cambria Math" panose="02040503050406030204" pitchFamily="18" charset="0"/>
                </a:rPr>
                <a:t>20𝑉=50,000</a:t>
              </a:r>
              <a:endParaRPr lang="en-US" sz="1600" b="0" baseline="0"/>
            </a:p>
            <a:p>
              <a:r>
                <a:rPr lang="en-US" sz="1600" b="0" i="0" baseline="0">
                  <a:latin typeface="Cambria Math" panose="02040503050406030204" pitchFamily="18" charset="0"/>
                </a:rPr>
                <a:t>𝑉=2,500</a:t>
              </a:r>
              <a:endParaRPr lang="en-US" sz="1600" baseline="0"/>
            </a:p>
            <a:p>
              <a:r>
                <a:rPr lang="en-US" sz="1600" baseline="0"/>
                <a:t>This means at exactly 2,500 cases, Bowling Green and Chicago have the same total cost. (See graph)</a:t>
              </a:r>
            </a:p>
            <a:p>
              <a:r>
                <a:rPr lang="en-US" sz="1600" baseline="0"/>
                <a:t>1. </a:t>
              </a:r>
              <a:r>
                <a:rPr lang="en-US" sz="1600" b="0" i="0" baseline="0">
                  <a:latin typeface="Cambria Math" panose="02040503050406030204" pitchFamily="18" charset="0"/>
                </a:rPr>
                <a:t>0−1,000 𝑐𝑎𝑠𝑒𝑠:𝐴𝑘𝑟𝑜𝑛 𝑖𝑠 𝑐ℎ𝑒𝑎𝑝𝑒𝑠𝑡.</a:t>
              </a:r>
              <a:endParaRPr lang="en-US" sz="1600" baseline="0"/>
            </a:p>
            <a:p>
              <a:r>
                <a:rPr lang="en-US" sz="1600" baseline="0"/>
                <a:t>2. </a:t>
              </a:r>
              <a:r>
                <a:rPr lang="en-US" sz="1600" b="0" i="0" baseline="0">
                  <a:latin typeface="Cambria Math" panose="02040503050406030204" pitchFamily="18" charset="0"/>
                </a:rPr>
                <a:t>1,000 −2,500 𝑐𝑎𝑠𝑒𝑠:𝐵𝑜𝑤𝑙𝑖𝑛𝑔 𝐺𝑟𝑒𝑒𝑛 𝑖𝑠 𝑐ℎ𝑒𝑎𝑝𝑒𝑠𝑡.</a:t>
              </a:r>
              <a:endParaRPr lang="en-US" sz="1600" baseline="0"/>
            </a:p>
            <a:p>
              <a:r>
                <a:rPr lang="en-US" sz="1600" baseline="0"/>
                <a:t>3. </a:t>
              </a:r>
              <a:r>
                <a:rPr lang="en-US" sz="1600" b="0" i="0" baseline="0">
                  <a:latin typeface="Cambria Math" panose="02040503050406030204" pitchFamily="18" charset="0"/>
                </a:rPr>
                <a:t>𝑂𝑣𝑒𝑟 2,500 𝑐𝑎𝑠𝑒𝑠:𝐶ℎ𝑖𝑐𝑎𝑔𝑜 𝑖𝑠 𝑐ℎ𝑒𝑎𝑝𝑒𝑠𝑡.</a:t>
              </a:r>
              <a:endParaRPr lang="en-US" sz="1600" baseline="0"/>
            </a:p>
            <a:p>
              <a:endParaRPr lang="en-US" sz="1400" baseline="0"/>
            </a:p>
          </xdr:txBody>
        </xdr:sp>
      </mc:Fallback>
    </mc:AlternateContent>
    <xdr:clientData/>
  </xdr:twoCellAnchor>
  <xdr:twoCellAnchor>
    <xdr:from>
      <xdr:col>0</xdr:col>
      <xdr:colOff>0</xdr:colOff>
      <xdr:row>32</xdr:row>
      <xdr:rowOff>0</xdr:rowOff>
    </xdr:from>
    <xdr:to>
      <xdr:col>4</xdr:col>
      <xdr:colOff>1053353</xdr:colOff>
      <xdr:row>36</xdr:row>
      <xdr:rowOff>156883</xdr:rowOff>
    </xdr:to>
    <xdr:sp macro="" textlink="">
      <xdr:nvSpPr>
        <xdr:cNvPr id="4" name="TextBox 3"/>
        <xdr:cNvSpPr txBox="1"/>
      </xdr:nvSpPr>
      <xdr:spPr>
        <a:xfrm>
          <a:off x="0" y="6096000"/>
          <a:ext cx="4784912" cy="9188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EF431L Industrial Facilities Design</a:t>
          </a:r>
        </a:p>
        <a:p>
          <a:r>
            <a:rPr lang="en-US" sz="1100"/>
            <a:t>Lab 03:</a:t>
          </a:r>
          <a:r>
            <a:rPr lang="en-US" sz="1100" baseline="0"/>
            <a:t> Task 02</a:t>
          </a:r>
        </a:p>
        <a:p>
          <a:r>
            <a:rPr lang="en-US" sz="1100" baseline="0"/>
            <a:t>Mohammad Abubakar Atiq, BSIE, F2022031002</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6:AO38"/>
  <sheetViews>
    <sheetView zoomScale="80" zoomScaleNormal="80" workbookViewId="0">
      <selection activeCell="M44" sqref="M44"/>
    </sheetView>
  </sheetViews>
  <sheetFormatPr defaultRowHeight="15" x14ac:dyDescent="0.25"/>
  <cols>
    <col min="6" max="6" width="25.7109375" bestFit="1" customWidth="1"/>
    <col min="13" max="13" width="25.7109375" bestFit="1" customWidth="1"/>
    <col min="23" max="23" width="25.7109375" bestFit="1" customWidth="1"/>
    <col min="34" max="34" width="25.7109375" bestFit="1" customWidth="1"/>
  </cols>
  <sheetData>
    <row r="6" spans="5:41" x14ac:dyDescent="0.25">
      <c r="O6" s="32" t="s">
        <v>7</v>
      </c>
      <c r="P6" s="32"/>
      <c r="Q6" s="32"/>
    </row>
    <row r="7" spans="5:41" x14ac:dyDescent="0.25">
      <c r="O7" s="33" t="s">
        <v>31</v>
      </c>
      <c r="P7" s="33"/>
      <c r="Q7" s="33"/>
      <c r="R7" s="32" t="s">
        <v>32</v>
      </c>
      <c r="S7" s="32"/>
      <c r="T7" s="32"/>
    </row>
    <row r="8" spans="5:41" x14ac:dyDescent="0.25">
      <c r="M8" s="1" t="s">
        <v>24</v>
      </c>
      <c r="N8" s="1" t="s">
        <v>33</v>
      </c>
      <c r="O8" s="1" t="s">
        <v>28</v>
      </c>
      <c r="P8" s="1" t="s">
        <v>29</v>
      </c>
      <c r="Q8" s="1" t="s">
        <v>30</v>
      </c>
      <c r="R8" s="7" t="s">
        <v>28</v>
      </c>
      <c r="S8" s="7" t="s">
        <v>29</v>
      </c>
      <c r="T8" s="7" t="s">
        <v>30</v>
      </c>
    </row>
    <row r="9" spans="5:41" x14ac:dyDescent="0.25">
      <c r="M9" s="1"/>
      <c r="N9" s="8" t="s">
        <v>34</v>
      </c>
      <c r="O9" s="8" t="s">
        <v>35</v>
      </c>
      <c r="P9" s="8" t="s">
        <v>36</v>
      </c>
      <c r="Q9" s="8" t="s">
        <v>37</v>
      </c>
      <c r="R9" s="8" t="s">
        <v>38</v>
      </c>
      <c r="S9" s="8" t="s">
        <v>39</v>
      </c>
      <c r="T9" s="8" t="s">
        <v>40</v>
      </c>
      <c r="AJ9" s="32" t="s">
        <v>7</v>
      </c>
      <c r="AK9" s="32"/>
      <c r="AL9" s="32"/>
    </row>
    <row r="10" spans="5:41" x14ac:dyDescent="0.25">
      <c r="E10" s="34" t="s">
        <v>41</v>
      </c>
      <c r="F10" s="34"/>
      <c r="G10" s="34"/>
      <c r="M10" s="1" t="s">
        <v>25</v>
      </c>
      <c r="N10" s="1">
        <v>0.15</v>
      </c>
      <c r="O10" s="10">
        <v>86</v>
      </c>
      <c r="P10" s="1">
        <v>72</v>
      </c>
      <c r="Q10" s="1">
        <v>90</v>
      </c>
      <c r="R10" s="1">
        <f>N10*O10</f>
        <v>12.9</v>
      </c>
      <c r="S10" s="1">
        <f>N10*P10</f>
        <v>10.799999999999999</v>
      </c>
      <c r="T10" s="1">
        <f>N10*Q10</f>
        <v>13.5</v>
      </c>
      <c r="AJ10" s="33" t="s">
        <v>31</v>
      </c>
      <c r="AK10" s="33"/>
      <c r="AL10" s="33"/>
      <c r="AM10" s="32" t="s">
        <v>32</v>
      </c>
      <c r="AN10" s="32"/>
      <c r="AO10" s="32"/>
    </row>
    <row r="11" spans="5:41" x14ac:dyDescent="0.25">
      <c r="E11" s="34" t="s">
        <v>42</v>
      </c>
      <c r="F11" s="34"/>
      <c r="G11" s="34"/>
      <c r="M11" s="1" t="s">
        <v>43</v>
      </c>
      <c r="N11" s="1">
        <v>0.2</v>
      </c>
      <c r="O11" s="10">
        <v>72</v>
      </c>
      <c r="P11" s="1">
        <v>77</v>
      </c>
      <c r="Q11" s="1">
        <v>91</v>
      </c>
      <c r="R11" s="1">
        <f t="shared" ref="R11:R15" si="0">N11*O11</f>
        <v>14.4</v>
      </c>
      <c r="S11" s="1">
        <f t="shared" ref="S11:S15" si="1">N11*P11</f>
        <v>15.4</v>
      </c>
      <c r="T11" s="1">
        <f t="shared" ref="T11:T15" si="2">N11*Q11</f>
        <v>18.2</v>
      </c>
      <c r="AH11" s="1" t="s">
        <v>24</v>
      </c>
      <c r="AI11" s="1" t="s">
        <v>33</v>
      </c>
      <c r="AJ11" s="1" t="s">
        <v>28</v>
      </c>
      <c r="AK11" s="1" t="s">
        <v>29</v>
      </c>
      <c r="AL11" s="1" t="s">
        <v>30</v>
      </c>
      <c r="AM11" s="7" t="s">
        <v>28</v>
      </c>
      <c r="AN11" s="7" t="s">
        <v>29</v>
      </c>
      <c r="AO11" s="7" t="s">
        <v>30</v>
      </c>
    </row>
    <row r="12" spans="5:41" x14ac:dyDescent="0.25">
      <c r="H12" s="32" t="s">
        <v>7</v>
      </c>
      <c r="I12" s="32"/>
      <c r="J12" s="32"/>
      <c r="M12" s="1" t="s">
        <v>26</v>
      </c>
      <c r="N12" s="1">
        <v>0.15</v>
      </c>
      <c r="O12" s="10">
        <v>86</v>
      </c>
      <c r="P12" s="1">
        <v>90</v>
      </c>
      <c r="Q12" s="1">
        <v>90</v>
      </c>
      <c r="R12" s="1">
        <f t="shared" si="0"/>
        <v>12.9</v>
      </c>
      <c r="S12" s="1">
        <f t="shared" si="1"/>
        <v>13.5</v>
      </c>
      <c r="T12" s="1">
        <f t="shared" si="2"/>
        <v>13.5</v>
      </c>
      <c r="AH12" s="1"/>
      <c r="AI12" s="8" t="s">
        <v>34</v>
      </c>
      <c r="AJ12" s="8" t="s">
        <v>35</v>
      </c>
      <c r="AK12" s="8" t="s">
        <v>36</v>
      </c>
      <c r="AL12" s="8" t="s">
        <v>37</v>
      </c>
      <c r="AM12" s="8" t="s">
        <v>38</v>
      </c>
      <c r="AN12" s="8" t="s">
        <v>39</v>
      </c>
      <c r="AO12" s="8" t="s">
        <v>40</v>
      </c>
    </row>
    <row r="13" spans="5:41" x14ac:dyDescent="0.25">
      <c r="H13" s="33" t="s">
        <v>31</v>
      </c>
      <c r="I13" s="33"/>
      <c r="J13" s="33"/>
      <c r="M13" s="1" t="s">
        <v>44</v>
      </c>
      <c r="N13" s="1">
        <v>0.1</v>
      </c>
      <c r="O13" s="10">
        <v>94</v>
      </c>
      <c r="P13" s="1">
        <v>86</v>
      </c>
      <c r="Q13" s="1">
        <v>80</v>
      </c>
      <c r="R13" s="1">
        <f t="shared" si="0"/>
        <v>9.4</v>
      </c>
      <c r="S13" s="1">
        <f t="shared" si="1"/>
        <v>8.6</v>
      </c>
      <c r="T13" s="1">
        <f t="shared" si="2"/>
        <v>8</v>
      </c>
      <c r="AH13" s="1" t="s">
        <v>25</v>
      </c>
      <c r="AI13" s="1">
        <f>1/6</f>
        <v>0.16666666666666666</v>
      </c>
      <c r="AJ13" s="10">
        <v>86</v>
      </c>
      <c r="AK13" s="1">
        <v>72</v>
      </c>
      <c r="AL13" s="1">
        <v>90</v>
      </c>
      <c r="AM13" s="1">
        <f>AI13*AJ13</f>
        <v>14.333333333333332</v>
      </c>
      <c r="AN13" s="1">
        <f>AI13*AK13</f>
        <v>12</v>
      </c>
      <c r="AO13" s="1">
        <f>AI13*AL13</f>
        <v>15</v>
      </c>
    </row>
    <row r="14" spans="5:41" x14ac:dyDescent="0.25">
      <c r="F14" s="1" t="s">
        <v>24</v>
      </c>
      <c r="G14" s="1" t="s">
        <v>33</v>
      </c>
      <c r="H14" s="1" t="s">
        <v>28</v>
      </c>
      <c r="I14" s="1" t="s">
        <v>29</v>
      </c>
      <c r="J14" s="1" t="s">
        <v>30</v>
      </c>
      <c r="M14" s="1" t="s">
        <v>27</v>
      </c>
      <c r="N14" s="1">
        <v>0.15</v>
      </c>
      <c r="O14" s="10">
        <v>99</v>
      </c>
      <c r="P14" s="1">
        <v>89</v>
      </c>
      <c r="Q14" s="1">
        <v>81</v>
      </c>
      <c r="R14" s="1">
        <f t="shared" si="0"/>
        <v>14.85</v>
      </c>
      <c r="S14" s="1">
        <f t="shared" si="1"/>
        <v>13.35</v>
      </c>
      <c r="T14" s="1">
        <f t="shared" si="2"/>
        <v>12.15</v>
      </c>
      <c r="AH14" s="1" t="s">
        <v>43</v>
      </c>
      <c r="AI14" s="1">
        <f t="shared" ref="AI14:AI18" si="3">1/6</f>
        <v>0.16666666666666666</v>
      </c>
      <c r="AJ14" s="10">
        <v>72</v>
      </c>
      <c r="AK14" s="1">
        <v>77</v>
      </c>
      <c r="AL14" s="1">
        <v>91</v>
      </c>
      <c r="AM14" s="1">
        <f t="shared" ref="AM14:AM18" si="4">AI14*AJ14</f>
        <v>12</v>
      </c>
      <c r="AN14" s="1">
        <f t="shared" ref="AN14:AN18" si="5">AI14*AK14</f>
        <v>12.833333333333332</v>
      </c>
      <c r="AO14" s="1">
        <f t="shared" ref="AO14:AO18" si="6">AI14*AL14</f>
        <v>15.166666666666666</v>
      </c>
    </row>
    <row r="15" spans="5:41" x14ac:dyDescent="0.25">
      <c r="F15" s="1" t="s">
        <v>25</v>
      </c>
      <c r="G15" s="1">
        <v>0.15</v>
      </c>
      <c r="H15" s="1">
        <v>86</v>
      </c>
      <c r="I15" s="1">
        <v>72</v>
      </c>
      <c r="J15" s="1">
        <v>90</v>
      </c>
      <c r="M15" s="1" t="s">
        <v>45</v>
      </c>
      <c r="N15" s="1">
        <v>0.25</v>
      </c>
      <c r="O15" s="10">
        <v>96</v>
      </c>
      <c r="P15" s="1">
        <v>85</v>
      </c>
      <c r="Q15" s="1">
        <v>75</v>
      </c>
      <c r="R15" s="1">
        <f t="shared" si="0"/>
        <v>24</v>
      </c>
      <c r="S15" s="1">
        <f t="shared" si="1"/>
        <v>21.25</v>
      </c>
      <c r="T15" s="1">
        <f t="shared" si="2"/>
        <v>18.75</v>
      </c>
      <c r="AH15" s="1" t="s">
        <v>26</v>
      </c>
      <c r="AI15" s="1">
        <f t="shared" si="3"/>
        <v>0.16666666666666666</v>
      </c>
      <c r="AJ15" s="10">
        <v>86</v>
      </c>
      <c r="AK15" s="1">
        <v>90</v>
      </c>
      <c r="AL15" s="1">
        <v>90</v>
      </c>
      <c r="AM15" s="1">
        <f t="shared" si="4"/>
        <v>14.333333333333332</v>
      </c>
      <c r="AN15" s="1">
        <f t="shared" si="5"/>
        <v>15</v>
      </c>
      <c r="AO15" s="1">
        <f t="shared" si="6"/>
        <v>15</v>
      </c>
    </row>
    <row r="16" spans="5:41" x14ac:dyDescent="0.25">
      <c r="F16" s="1" t="s">
        <v>43</v>
      </c>
      <c r="G16" s="1">
        <v>0.2</v>
      </c>
      <c r="H16" s="1">
        <v>72</v>
      </c>
      <c r="I16" s="1">
        <v>77</v>
      </c>
      <c r="J16" s="1">
        <v>91</v>
      </c>
      <c r="M16" s="11" t="s">
        <v>46</v>
      </c>
      <c r="N16" s="12">
        <f>SUM(N10:N15)</f>
        <v>1</v>
      </c>
      <c r="O16" s="35" t="s">
        <v>47</v>
      </c>
      <c r="P16" s="35"/>
      <c r="Q16" s="35"/>
      <c r="R16" s="13">
        <f>SUM(R10:R15)</f>
        <v>88.45</v>
      </c>
      <c r="S16" s="13">
        <f>SUM(S10:S15)</f>
        <v>82.9</v>
      </c>
      <c r="T16" s="13">
        <f>SUM(T10:T15)</f>
        <v>84.100000000000009</v>
      </c>
      <c r="AH16" s="1" t="s">
        <v>44</v>
      </c>
      <c r="AI16" s="1">
        <f t="shared" si="3"/>
        <v>0.16666666666666666</v>
      </c>
      <c r="AJ16" s="10">
        <v>94</v>
      </c>
      <c r="AK16" s="1">
        <v>86</v>
      </c>
      <c r="AL16" s="1">
        <v>80</v>
      </c>
      <c r="AM16" s="1">
        <f t="shared" si="4"/>
        <v>15.666666666666666</v>
      </c>
      <c r="AN16" s="1">
        <f t="shared" si="5"/>
        <v>14.333333333333332</v>
      </c>
      <c r="AO16" s="1">
        <f t="shared" si="6"/>
        <v>13.333333333333332</v>
      </c>
    </row>
    <row r="17" spans="6:41" x14ac:dyDescent="0.25">
      <c r="F17" s="1" t="s">
        <v>26</v>
      </c>
      <c r="G17" s="1">
        <v>0.15</v>
      </c>
      <c r="H17" s="1">
        <v>86</v>
      </c>
      <c r="I17" s="1">
        <v>90</v>
      </c>
      <c r="J17" s="1">
        <v>90</v>
      </c>
      <c r="AH17" s="1" t="s">
        <v>27</v>
      </c>
      <c r="AI17" s="1">
        <f t="shared" si="3"/>
        <v>0.16666666666666666</v>
      </c>
      <c r="AJ17" s="10">
        <v>99</v>
      </c>
      <c r="AK17" s="1">
        <v>89</v>
      </c>
      <c r="AL17" s="1">
        <v>81</v>
      </c>
      <c r="AM17" s="1">
        <f t="shared" si="4"/>
        <v>16.5</v>
      </c>
      <c r="AN17" s="1">
        <f t="shared" si="5"/>
        <v>14.833333333333332</v>
      </c>
      <c r="AO17" s="1">
        <f t="shared" si="6"/>
        <v>13.5</v>
      </c>
    </row>
    <row r="18" spans="6:41" x14ac:dyDescent="0.25">
      <c r="F18" s="1" t="s">
        <v>44</v>
      </c>
      <c r="G18" s="1">
        <v>0.1</v>
      </c>
      <c r="H18" s="1">
        <v>94</v>
      </c>
      <c r="I18" s="1">
        <v>86</v>
      </c>
      <c r="J18" s="1">
        <v>80</v>
      </c>
      <c r="M18" s="5" t="s">
        <v>48</v>
      </c>
      <c r="N18">
        <f>MAX(R16:T16)</f>
        <v>88.45</v>
      </c>
      <c r="AH18" s="1" t="s">
        <v>45</v>
      </c>
      <c r="AI18" s="1">
        <f t="shared" si="3"/>
        <v>0.16666666666666666</v>
      </c>
      <c r="AJ18" s="10">
        <v>96</v>
      </c>
      <c r="AK18" s="1">
        <v>85</v>
      </c>
      <c r="AL18" s="1">
        <v>75</v>
      </c>
      <c r="AM18" s="1">
        <f t="shared" si="4"/>
        <v>16</v>
      </c>
      <c r="AN18" s="1">
        <f t="shared" si="5"/>
        <v>14.166666666666666</v>
      </c>
      <c r="AO18" s="1">
        <f t="shared" si="6"/>
        <v>12.5</v>
      </c>
    </row>
    <row r="19" spans="6:41" x14ac:dyDescent="0.25">
      <c r="F19" s="1" t="s">
        <v>27</v>
      </c>
      <c r="G19" s="1">
        <v>0.15</v>
      </c>
      <c r="H19" s="1">
        <v>99</v>
      </c>
      <c r="I19" s="1">
        <v>89</v>
      </c>
      <c r="J19" s="1">
        <v>81</v>
      </c>
      <c r="AH19" s="11" t="s">
        <v>46</v>
      </c>
      <c r="AI19" s="12">
        <f>SUM(AI13:AI18)</f>
        <v>0.99999999999999989</v>
      </c>
      <c r="AJ19" s="35" t="s">
        <v>47</v>
      </c>
      <c r="AK19" s="35"/>
      <c r="AL19" s="35"/>
      <c r="AM19" s="13">
        <f>SUM(AM13:AM18)</f>
        <v>88.833333333333329</v>
      </c>
      <c r="AN19" s="13">
        <f>SUM(AN13:AN18)</f>
        <v>83.166666666666657</v>
      </c>
      <c r="AO19" s="13">
        <f>SUM(AO13:AO18)</f>
        <v>84.5</v>
      </c>
    </row>
    <row r="20" spans="6:41" x14ac:dyDescent="0.25">
      <c r="F20" s="1" t="s">
        <v>45</v>
      </c>
      <c r="G20" s="1">
        <v>0.25</v>
      </c>
      <c r="H20" s="1">
        <v>96</v>
      </c>
      <c r="I20" s="1">
        <v>85</v>
      </c>
      <c r="J20" s="1">
        <v>75</v>
      </c>
    </row>
    <row r="21" spans="6:41" x14ac:dyDescent="0.25">
      <c r="F21" s="11" t="s">
        <v>46</v>
      </c>
      <c r="G21" s="14">
        <f>SUM(G15:G20)</f>
        <v>1</v>
      </c>
      <c r="AH21" s="5" t="s">
        <v>48</v>
      </c>
      <c r="AI21">
        <f>MAX(AM19:AO19)</f>
        <v>88.833333333333329</v>
      </c>
    </row>
    <row r="26" spans="6:41" x14ac:dyDescent="0.25">
      <c r="Y26" s="32" t="s">
        <v>7</v>
      </c>
      <c r="Z26" s="32"/>
      <c r="AA26" s="32"/>
    </row>
    <row r="27" spans="6:41" x14ac:dyDescent="0.25">
      <c r="Y27" s="33" t="s">
        <v>31</v>
      </c>
      <c r="Z27" s="33"/>
      <c r="AA27" s="33"/>
      <c r="AB27" s="32" t="s">
        <v>32</v>
      </c>
      <c r="AC27" s="32"/>
      <c r="AD27" s="32"/>
    </row>
    <row r="28" spans="6:41" x14ac:dyDescent="0.25">
      <c r="W28" s="1" t="s">
        <v>24</v>
      </c>
      <c r="X28" s="1" t="s">
        <v>33</v>
      </c>
      <c r="Y28" s="1" t="s">
        <v>28</v>
      </c>
      <c r="Z28" s="1" t="s">
        <v>29</v>
      </c>
      <c r="AA28" s="1" t="s">
        <v>30</v>
      </c>
      <c r="AB28" s="7" t="s">
        <v>28</v>
      </c>
      <c r="AC28" s="7" t="s">
        <v>29</v>
      </c>
      <c r="AD28" s="7" t="s">
        <v>30</v>
      </c>
    </row>
    <row r="29" spans="6:41" x14ac:dyDescent="0.25">
      <c r="W29" s="1"/>
      <c r="X29" s="8" t="s">
        <v>34</v>
      </c>
      <c r="Y29" s="8" t="s">
        <v>35</v>
      </c>
      <c r="Z29" s="8" t="s">
        <v>36</v>
      </c>
      <c r="AA29" s="8" t="s">
        <v>37</v>
      </c>
      <c r="AB29" s="8" t="s">
        <v>38</v>
      </c>
      <c r="AC29" s="8" t="s">
        <v>39</v>
      </c>
      <c r="AD29" s="8" t="s">
        <v>40</v>
      </c>
    </row>
    <row r="30" spans="6:41" x14ac:dyDescent="0.25">
      <c r="W30" s="1" t="s">
        <v>25</v>
      </c>
      <c r="X30" s="1">
        <v>0.125</v>
      </c>
      <c r="Y30" s="10">
        <v>86</v>
      </c>
      <c r="Z30" s="1">
        <v>72</v>
      </c>
      <c r="AA30" s="1">
        <v>90</v>
      </c>
      <c r="AB30" s="1">
        <f>X30*Y30</f>
        <v>10.75</v>
      </c>
      <c r="AC30" s="1">
        <f>X30*Z30</f>
        <v>9</v>
      </c>
      <c r="AD30" s="1">
        <f>X30*AA30</f>
        <v>11.25</v>
      </c>
    </row>
    <row r="31" spans="6:41" x14ac:dyDescent="0.25">
      <c r="W31" s="1" t="s">
        <v>43</v>
      </c>
      <c r="X31" s="1">
        <v>0.125</v>
      </c>
      <c r="Y31" s="10">
        <v>72</v>
      </c>
      <c r="Z31" s="1">
        <v>77</v>
      </c>
      <c r="AA31" s="1">
        <v>91</v>
      </c>
      <c r="AB31" s="1">
        <f t="shared" ref="AB31:AB35" si="7">X31*Y31</f>
        <v>9</v>
      </c>
      <c r="AC31" s="1">
        <f t="shared" ref="AC31:AC35" si="8">X31*Z31</f>
        <v>9.625</v>
      </c>
      <c r="AD31" s="1">
        <f t="shared" ref="AD31:AD35" si="9">X31*AA31</f>
        <v>11.375</v>
      </c>
    </row>
    <row r="32" spans="6:41" x14ac:dyDescent="0.25">
      <c r="W32" s="1" t="s">
        <v>26</v>
      </c>
      <c r="X32" s="1">
        <v>0.125</v>
      </c>
      <c r="Y32" s="10">
        <v>86</v>
      </c>
      <c r="Z32" s="1">
        <v>90</v>
      </c>
      <c r="AA32" s="1">
        <v>90</v>
      </c>
      <c r="AB32" s="1">
        <f t="shared" si="7"/>
        <v>10.75</v>
      </c>
      <c r="AC32" s="1">
        <f t="shared" si="8"/>
        <v>11.25</v>
      </c>
      <c r="AD32" s="1">
        <f t="shared" si="9"/>
        <v>11.25</v>
      </c>
    </row>
    <row r="33" spans="23:30" x14ac:dyDescent="0.25">
      <c r="W33" s="1" t="s">
        <v>44</v>
      </c>
      <c r="X33" s="1">
        <v>0.125</v>
      </c>
      <c r="Y33" s="10">
        <v>94</v>
      </c>
      <c r="Z33" s="1">
        <v>86</v>
      </c>
      <c r="AA33" s="1">
        <v>80</v>
      </c>
      <c r="AB33" s="1">
        <f t="shared" si="7"/>
        <v>11.75</v>
      </c>
      <c r="AC33" s="1">
        <f t="shared" si="8"/>
        <v>10.75</v>
      </c>
      <c r="AD33" s="1">
        <f t="shared" si="9"/>
        <v>10</v>
      </c>
    </row>
    <row r="34" spans="23:30" x14ac:dyDescent="0.25">
      <c r="W34" s="1" t="s">
        <v>27</v>
      </c>
      <c r="X34" s="1">
        <v>0.25</v>
      </c>
      <c r="Y34" s="10">
        <v>99</v>
      </c>
      <c r="Z34" s="1">
        <v>89</v>
      </c>
      <c r="AA34" s="1">
        <v>81</v>
      </c>
      <c r="AB34" s="1">
        <f t="shared" si="7"/>
        <v>24.75</v>
      </c>
      <c r="AC34" s="1">
        <f t="shared" si="8"/>
        <v>22.25</v>
      </c>
      <c r="AD34" s="1">
        <f t="shared" si="9"/>
        <v>20.25</v>
      </c>
    </row>
    <row r="35" spans="23:30" x14ac:dyDescent="0.25">
      <c r="W35" s="1" t="s">
        <v>45</v>
      </c>
      <c r="X35" s="1">
        <v>0.25</v>
      </c>
      <c r="Y35" s="10">
        <v>96</v>
      </c>
      <c r="Z35" s="1">
        <v>85</v>
      </c>
      <c r="AA35" s="1">
        <v>75</v>
      </c>
      <c r="AB35" s="1">
        <f t="shared" si="7"/>
        <v>24</v>
      </c>
      <c r="AC35" s="1">
        <f t="shared" si="8"/>
        <v>21.25</v>
      </c>
      <c r="AD35" s="1">
        <f t="shared" si="9"/>
        <v>18.75</v>
      </c>
    </row>
    <row r="36" spans="23:30" x14ac:dyDescent="0.25">
      <c r="W36" s="11" t="s">
        <v>46</v>
      </c>
      <c r="X36" s="12">
        <f>SUM(X30:X35)</f>
        <v>1</v>
      </c>
      <c r="Y36" s="35" t="s">
        <v>47</v>
      </c>
      <c r="Z36" s="35"/>
      <c r="AA36" s="35"/>
      <c r="AB36" s="13">
        <f>SUM(AB30:AB35)</f>
        <v>91</v>
      </c>
      <c r="AC36" s="13">
        <f>SUM(AC30:AC35)</f>
        <v>84.125</v>
      </c>
      <c r="AD36" s="13">
        <f>SUM(AD30:AD35)</f>
        <v>82.875</v>
      </c>
    </row>
    <row r="38" spans="23:30" x14ac:dyDescent="0.25">
      <c r="W38" s="5" t="s">
        <v>48</v>
      </c>
      <c r="X38">
        <f>MAX(AB36:AD36)</f>
        <v>91</v>
      </c>
    </row>
  </sheetData>
  <mergeCells count="16">
    <mergeCell ref="Y26:AA26"/>
    <mergeCell ref="Y27:AA27"/>
    <mergeCell ref="AB27:AD27"/>
    <mergeCell ref="Y36:AA36"/>
    <mergeCell ref="AM10:AO10"/>
    <mergeCell ref="E11:G11"/>
    <mergeCell ref="H12:J12"/>
    <mergeCell ref="H13:J13"/>
    <mergeCell ref="O16:Q16"/>
    <mergeCell ref="AJ19:AL19"/>
    <mergeCell ref="O6:Q6"/>
    <mergeCell ref="O7:Q7"/>
    <mergeCell ref="R7:T7"/>
    <mergeCell ref="AJ9:AL9"/>
    <mergeCell ref="E10:G10"/>
    <mergeCell ref="AJ10:AL10"/>
  </mergeCells>
  <pageMargins left="0.7" right="0.7" top="0.75" bottom="0.75" header="0.3" footer="0.3"/>
  <pageSetup scale="77" orientation="portrait" r:id="rId1"/>
  <colBreaks count="2" manualBreakCount="2">
    <brk id="11" max="20" man="1"/>
    <brk id="21" max="37"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4:I19"/>
  <sheetViews>
    <sheetView workbookViewId="0">
      <selection activeCell="L11" sqref="L11"/>
    </sheetView>
  </sheetViews>
  <sheetFormatPr defaultRowHeight="15" x14ac:dyDescent="0.25"/>
  <cols>
    <col min="8" max="8" width="12.28515625" bestFit="1" customWidth="1"/>
  </cols>
  <sheetData>
    <row r="14" spans="3:9" x14ac:dyDescent="0.25">
      <c r="C14" s="1" t="s">
        <v>0</v>
      </c>
      <c r="D14" s="1" t="s">
        <v>1</v>
      </c>
      <c r="E14" s="1" t="s">
        <v>2</v>
      </c>
      <c r="F14" s="1" t="s">
        <v>3</v>
      </c>
    </row>
    <row r="15" spans="3:9" x14ac:dyDescent="0.25">
      <c r="C15" s="1">
        <v>1</v>
      </c>
      <c r="D15" s="1">
        <v>30</v>
      </c>
      <c r="E15" s="1">
        <v>120</v>
      </c>
      <c r="F15" s="1">
        <f>D15*E15</f>
        <v>3600</v>
      </c>
      <c r="H15" s="1" t="s">
        <v>5</v>
      </c>
      <c r="I15" s="1">
        <f>((D15*F15)+(D16*F16)+(D17*F17)+(D18*F18))/F19</f>
        <v>101.82926829268293</v>
      </c>
    </row>
    <row r="16" spans="3:9" x14ac:dyDescent="0.25">
      <c r="C16" s="1">
        <v>2</v>
      </c>
      <c r="D16" s="1">
        <v>60</v>
      </c>
      <c r="E16" s="1">
        <v>40</v>
      </c>
      <c r="F16" s="1">
        <f t="shared" ref="F16:F18" si="0">D16*E16</f>
        <v>2400</v>
      </c>
      <c r="H16" s="1" t="s">
        <v>6</v>
      </c>
      <c r="I16" s="1">
        <f>((E15*F15)+(E16*F16)+(E17*F17)+(E18*F18))/F19</f>
        <v>116.28048780487805</v>
      </c>
    </row>
    <row r="17" spans="3:6" x14ac:dyDescent="0.25">
      <c r="C17" s="1">
        <v>3</v>
      </c>
      <c r="D17" s="1">
        <v>90</v>
      </c>
      <c r="E17" s="1">
        <v>110</v>
      </c>
      <c r="F17" s="1">
        <f t="shared" si="0"/>
        <v>9900</v>
      </c>
    </row>
    <row r="18" spans="3:6" x14ac:dyDescent="0.25">
      <c r="C18" s="1">
        <v>4</v>
      </c>
      <c r="D18" s="1">
        <v>130</v>
      </c>
      <c r="E18" s="1">
        <v>130</v>
      </c>
      <c r="F18" s="1">
        <f t="shared" si="0"/>
        <v>16900</v>
      </c>
    </row>
    <row r="19" spans="3:6" x14ac:dyDescent="0.25">
      <c r="C19" s="1" t="s">
        <v>4</v>
      </c>
      <c r="D19" s="1">
        <f>SUM(D15:D18)</f>
        <v>310</v>
      </c>
      <c r="E19" s="1">
        <f>SUM(E15:E18)</f>
        <v>400</v>
      </c>
      <c r="F19" s="1">
        <f t="shared" ref="F19" si="1">SUM(F15:F18)</f>
        <v>32800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1:L20"/>
  <sheetViews>
    <sheetView workbookViewId="0">
      <selection activeCell="B20" sqref="B20"/>
    </sheetView>
  </sheetViews>
  <sheetFormatPr defaultRowHeight="15" x14ac:dyDescent="0.25"/>
  <cols>
    <col min="2" max="2" width="21.42578125" bestFit="1" customWidth="1"/>
    <col min="5" max="5" width="12.42578125" bestFit="1" customWidth="1"/>
    <col min="6" max="6" width="16" bestFit="1" customWidth="1"/>
    <col min="7" max="7" width="16" customWidth="1"/>
    <col min="11" max="11" width="12.28515625" customWidth="1"/>
  </cols>
  <sheetData>
    <row r="11" spans="2:11" s="2" customFormat="1" ht="30" x14ac:dyDescent="0.25">
      <c r="B11" s="3" t="s">
        <v>7</v>
      </c>
      <c r="C11" s="3" t="s">
        <v>8</v>
      </c>
      <c r="D11" s="3" t="s">
        <v>10</v>
      </c>
      <c r="E11" s="3" t="s">
        <v>18</v>
      </c>
      <c r="F11" s="3" t="s">
        <v>19</v>
      </c>
      <c r="G11" s="3" t="s">
        <v>20</v>
      </c>
      <c r="H11" s="3" t="s">
        <v>21</v>
      </c>
      <c r="I11" s="3" t="s">
        <v>9</v>
      </c>
      <c r="J11" s="3" t="s">
        <v>22</v>
      </c>
      <c r="K11" s="3" t="s">
        <v>23</v>
      </c>
    </row>
    <row r="12" spans="2:11" x14ac:dyDescent="0.25">
      <c r="B12" s="1" t="s">
        <v>11</v>
      </c>
      <c r="C12" s="1">
        <v>0.2</v>
      </c>
      <c r="D12" s="1">
        <v>0.2</v>
      </c>
      <c r="E12" s="1">
        <v>0.15</v>
      </c>
      <c r="F12" s="1">
        <v>0.1</v>
      </c>
      <c r="G12" s="1">
        <v>0.1</v>
      </c>
      <c r="H12" s="1">
        <v>0.1</v>
      </c>
      <c r="I12" s="1">
        <v>0.05</v>
      </c>
      <c r="J12" s="1">
        <v>0.05</v>
      </c>
      <c r="K12" s="1"/>
    </row>
    <row r="13" spans="2:11" x14ac:dyDescent="0.25">
      <c r="B13" s="1" t="s">
        <v>12</v>
      </c>
      <c r="C13" s="1">
        <v>90</v>
      </c>
      <c r="D13" s="1">
        <v>60</v>
      </c>
      <c r="E13" s="1">
        <v>70</v>
      </c>
      <c r="F13" s="1">
        <v>80</v>
      </c>
      <c r="G13" s="1">
        <v>60</v>
      </c>
      <c r="H13" s="1">
        <v>100</v>
      </c>
      <c r="I13" s="1">
        <v>60</v>
      </c>
      <c r="J13" s="1">
        <v>80</v>
      </c>
      <c r="K13" s="1">
        <f>SUMPRODUCT($C$12:$J$12,C13:J13)</f>
        <v>71.5</v>
      </c>
    </row>
    <row r="14" spans="2:11" x14ac:dyDescent="0.25">
      <c r="B14" s="1" t="s">
        <v>13</v>
      </c>
      <c r="C14" s="1">
        <v>90</v>
      </c>
      <c r="D14" s="1">
        <v>70</v>
      </c>
      <c r="E14" s="1">
        <v>80</v>
      </c>
      <c r="F14" s="1">
        <v>80</v>
      </c>
      <c r="G14" s="1">
        <v>60</v>
      </c>
      <c r="H14" s="1">
        <v>60</v>
      </c>
      <c r="I14" s="1">
        <v>60</v>
      </c>
      <c r="J14" s="1">
        <v>80</v>
      </c>
      <c r="K14" s="1">
        <f t="shared" ref="K14:K18" si="0">SUMPRODUCT($C$12:$J$12,C14:J14)</f>
        <v>71</v>
      </c>
    </row>
    <row r="15" spans="2:11" x14ac:dyDescent="0.25">
      <c r="B15" s="1" t="s">
        <v>14</v>
      </c>
      <c r="C15" s="1">
        <v>90</v>
      </c>
      <c r="D15" s="1">
        <v>50</v>
      </c>
      <c r="E15" s="1">
        <v>90</v>
      </c>
      <c r="F15" s="1">
        <v>80</v>
      </c>
      <c r="G15" s="1">
        <v>60</v>
      </c>
      <c r="H15" s="1">
        <v>60</v>
      </c>
      <c r="I15" s="1">
        <v>100</v>
      </c>
      <c r="J15" s="1">
        <v>90</v>
      </c>
      <c r="K15" s="1">
        <f t="shared" si="0"/>
        <v>71</v>
      </c>
    </row>
    <row r="16" spans="2:11" x14ac:dyDescent="0.25">
      <c r="B16" s="1" t="s">
        <v>15</v>
      </c>
      <c r="C16" s="1">
        <v>80</v>
      </c>
      <c r="D16" s="1">
        <v>70</v>
      </c>
      <c r="E16" s="1">
        <v>70</v>
      </c>
      <c r="F16" s="1">
        <v>80</v>
      </c>
      <c r="G16" s="1">
        <v>60</v>
      </c>
      <c r="H16" s="1">
        <v>40</v>
      </c>
      <c r="I16" s="1">
        <v>30</v>
      </c>
      <c r="J16" s="1">
        <v>60</v>
      </c>
      <c r="K16" s="1">
        <f t="shared" si="0"/>
        <v>63</v>
      </c>
    </row>
    <row r="17" spans="2:12" x14ac:dyDescent="0.25">
      <c r="B17" s="1" t="s">
        <v>16</v>
      </c>
      <c r="C17" s="1">
        <v>80</v>
      </c>
      <c r="D17" s="1">
        <v>80</v>
      </c>
      <c r="E17" s="1">
        <v>80</v>
      </c>
      <c r="F17" s="1">
        <v>80</v>
      </c>
      <c r="G17" s="1">
        <v>60</v>
      </c>
      <c r="H17" s="1">
        <v>45</v>
      </c>
      <c r="I17" s="1">
        <v>40</v>
      </c>
      <c r="J17" s="1">
        <v>60</v>
      </c>
      <c r="K17" s="1">
        <f t="shared" si="0"/>
        <v>67.5</v>
      </c>
    </row>
    <row r="18" spans="2:12" x14ac:dyDescent="0.25">
      <c r="B18" s="1" t="s">
        <v>17</v>
      </c>
      <c r="C18" s="1">
        <v>70</v>
      </c>
      <c r="D18" s="1">
        <v>40</v>
      </c>
      <c r="E18" s="1">
        <v>60</v>
      </c>
      <c r="F18" s="1">
        <v>70</v>
      </c>
      <c r="G18" s="1">
        <v>90</v>
      </c>
      <c r="H18" s="1">
        <v>40</v>
      </c>
      <c r="I18" s="1">
        <v>80</v>
      </c>
      <c r="J18" s="1">
        <v>90</v>
      </c>
      <c r="K18" s="1">
        <f t="shared" si="0"/>
        <v>59.5</v>
      </c>
    </row>
    <row r="19" spans="2:12" x14ac:dyDescent="0.25">
      <c r="J19" s="4"/>
      <c r="K19" s="5"/>
      <c r="L19" s="4"/>
    </row>
    <row r="20" spans="2:12" x14ac:dyDescent="0.25">
      <c r="J20" s="4"/>
      <c r="K20" s="4"/>
      <c r="L20" s="4"/>
    </row>
  </sheetData>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0:AL46"/>
  <sheetViews>
    <sheetView view="pageBreakPreview" topLeftCell="A9" zoomScaleNormal="100" zoomScaleSheetLayoutView="100" workbookViewId="0">
      <selection activeCell="H33" sqref="H33"/>
    </sheetView>
  </sheetViews>
  <sheetFormatPr defaultRowHeight="15" x14ac:dyDescent="0.25"/>
  <cols>
    <col min="4" max="5" width="21.140625" bestFit="1" customWidth="1"/>
    <col min="6" max="6" width="12.5703125" bestFit="1" customWidth="1"/>
    <col min="7" max="7" width="12.7109375" bestFit="1" customWidth="1"/>
    <col min="8" max="8" width="12.5703125" bestFit="1" customWidth="1"/>
    <col min="12" max="12" width="9.140625" style="9"/>
    <col min="13" max="13" width="15.42578125" customWidth="1"/>
    <col min="14" max="15" width="12.28515625" bestFit="1" customWidth="1"/>
    <col min="16" max="16" width="13.140625" bestFit="1" customWidth="1"/>
    <col min="17" max="17" width="10.28515625" bestFit="1" customWidth="1"/>
    <col min="18" max="18" width="9.85546875" bestFit="1" customWidth="1"/>
    <col min="19" max="19" width="9.5703125" customWidth="1"/>
    <col min="20" max="25" width="9.140625" style="16"/>
    <col min="35" max="35" width="12.28515625" bestFit="1" customWidth="1"/>
  </cols>
  <sheetData>
    <row r="10" spans="2:16" x14ac:dyDescent="0.25">
      <c r="B10" s="6" t="s">
        <v>49</v>
      </c>
      <c r="C10" s="6" t="s">
        <v>50</v>
      </c>
      <c r="D10" s="6" t="s">
        <v>51</v>
      </c>
      <c r="E10" s="6" t="s">
        <v>52</v>
      </c>
      <c r="F10" s="6" t="s">
        <v>53</v>
      </c>
      <c r="L10" s="15" t="s">
        <v>73</v>
      </c>
      <c r="M10" s="15" t="s">
        <v>65</v>
      </c>
      <c r="N10" s="15" t="s">
        <v>5</v>
      </c>
      <c r="O10" s="15" t="s">
        <v>6</v>
      </c>
      <c r="P10" s="15" t="s">
        <v>66</v>
      </c>
    </row>
    <row r="11" spans="2:16" x14ac:dyDescent="0.25">
      <c r="B11" s="6"/>
      <c r="C11" s="6"/>
      <c r="D11" s="6" t="s">
        <v>58</v>
      </c>
      <c r="E11" s="6" t="s">
        <v>59</v>
      </c>
      <c r="F11" s="6" t="s">
        <v>60</v>
      </c>
      <c r="L11" s="15">
        <v>1</v>
      </c>
      <c r="M11" s="15" t="s">
        <v>67</v>
      </c>
      <c r="N11" s="15">
        <v>11</v>
      </c>
      <c r="O11" s="15">
        <v>6</v>
      </c>
      <c r="P11" s="15">
        <v>15</v>
      </c>
    </row>
    <row r="12" spans="2:16" x14ac:dyDescent="0.25">
      <c r="B12" s="6">
        <v>1</v>
      </c>
      <c r="C12" s="6" t="s">
        <v>28</v>
      </c>
      <c r="D12" s="6">
        <v>40</v>
      </c>
      <c r="E12" s="6">
        <v>8</v>
      </c>
      <c r="F12" s="6">
        <v>12</v>
      </c>
      <c r="L12" s="15">
        <v>2</v>
      </c>
      <c r="M12" s="15" t="s">
        <v>68</v>
      </c>
      <c r="N12" s="15">
        <v>6</v>
      </c>
      <c r="O12" s="15">
        <v>10</v>
      </c>
      <c r="P12" s="15">
        <v>20</v>
      </c>
    </row>
    <row r="13" spans="2:16" x14ac:dyDescent="0.25">
      <c r="B13" s="6">
        <v>2</v>
      </c>
      <c r="C13" s="6" t="s">
        <v>29</v>
      </c>
      <c r="D13" s="6">
        <v>20</v>
      </c>
      <c r="E13" s="6">
        <v>6</v>
      </c>
      <c r="F13" s="6">
        <v>4</v>
      </c>
      <c r="L13" s="15">
        <v>3</v>
      </c>
      <c r="M13" s="15" t="s">
        <v>69</v>
      </c>
      <c r="N13" s="15">
        <v>14</v>
      </c>
      <c r="O13" s="15">
        <v>12</v>
      </c>
      <c r="P13" s="15">
        <v>30</v>
      </c>
    </row>
    <row r="14" spans="2:16" x14ac:dyDescent="0.25">
      <c r="B14" s="6">
        <v>3</v>
      </c>
      <c r="C14" s="6" t="s">
        <v>30</v>
      </c>
      <c r="D14" s="6">
        <v>60</v>
      </c>
      <c r="E14" s="6">
        <v>2</v>
      </c>
      <c r="F14" s="6">
        <v>8</v>
      </c>
      <c r="L14" s="15">
        <v>4</v>
      </c>
      <c r="M14" s="15" t="s">
        <v>70</v>
      </c>
      <c r="N14" s="15">
        <v>9</v>
      </c>
      <c r="O14" s="15">
        <v>12</v>
      </c>
      <c r="P14" s="15">
        <v>25</v>
      </c>
    </row>
    <row r="15" spans="2:16" x14ac:dyDescent="0.25">
      <c r="B15" s="6">
        <v>4</v>
      </c>
      <c r="C15" s="6" t="s">
        <v>54</v>
      </c>
      <c r="D15" s="6">
        <v>80</v>
      </c>
      <c r="E15" s="6">
        <v>10</v>
      </c>
      <c r="F15" s="6">
        <v>6</v>
      </c>
      <c r="L15" s="15">
        <v>5</v>
      </c>
      <c r="M15" s="15" t="s">
        <v>71</v>
      </c>
      <c r="N15" s="15">
        <v>13</v>
      </c>
      <c r="O15" s="15">
        <v>8</v>
      </c>
      <c r="P15" s="15">
        <v>40</v>
      </c>
    </row>
    <row r="16" spans="2:16" x14ac:dyDescent="0.25">
      <c r="B16" s="17"/>
      <c r="C16" s="18" t="s">
        <v>57</v>
      </c>
      <c r="D16" s="6">
        <f>SUM(D12:D15)</f>
        <v>200</v>
      </c>
      <c r="E16" s="17"/>
      <c r="F16" s="17"/>
    </row>
    <row r="17" spans="2:38" x14ac:dyDescent="0.25">
      <c r="B17" s="17"/>
      <c r="C17" s="18" t="s">
        <v>55</v>
      </c>
      <c r="D17" s="6">
        <f>SUMPRODUCT($D$12:$D$15,E12:E15)/D16</f>
        <v>6.8</v>
      </c>
      <c r="E17" s="17"/>
      <c r="F17" s="17"/>
      <c r="M17" s="6" t="s">
        <v>72</v>
      </c>
      <c r="N17" s="6" t="s">
        <v>69</v>
      </c>
      <c r="O17" s="6"/>
      <c r="Q17" s="15" t="s">
        <v>72</v>
      </c>
      <c r="R17" s="15" t="s">
        <v>67</v>
      </c>
      <c r="S17" s="15"/>
    </row>
    <row r="18" spans="2:38" x14ac:dyDescent="0.25">
      <c r="B18" s="17"/>
      <c r="C18" s="18" t="s">
        <v>56</v>
      </c>
      <c r="D18" s="6">
        <f>SUMPRODUCT($D$12:$D$15,F12:F15)/D16</f>
        <v>7.6</v>
      </c>
      <c r="E18" s="17"/>
      <c r="F18" s="17"/>
      <c r="M18" s="6"/>
      <c r="N18" s="6" t="s">
        <v>74</v>
      </c>
      <c r="O18" s="6" t="s">
        <v>75</v>
      </c>
      <c r="Q18" s="15"/>
      <c r="R18" s="15" t="s">
        <v>74</v>
      </c>
      <c r="S18" s="15" t="s">
        <v>75</v>
      </c>
    </row>
    <row r="19" spans="2:38" x14ac:dyDescent="0.25">
      <c r="M19" s="6" t="s">
        <v>76</v>
      </c>
      <c r="N19" s="19">
        <f>SQRT((N11-$N$13)^2+(O11-$O$13)^2)</f>
        <v>6.7082039324993694</v>
      </c>
      <c r="O19" s="19">
        <v>15</v>
      </c>
      <c r="Q19" s="15" t="s">
        <v>101</v>
      </c>
      <c r="R19" s="19">
        <f>SQRT((N12-$N$11)^2+(O12-$O$11)^2)</f>
        <v>6.4031242374328485</v>
      </c>
      <c r="S19" s="19">
        <f>P12</f>
        <v>20</v>
      </c>
    </row>
    <row r="20" spans="2:38" x14ac:dyDescent="0.25">
      <c r="M20" s="6" t="s">
        <v>77</v>
      </c>
      <c r="N20" s="19">
        <f>SQRT((N12-$N$13)^2+(O12-$O$13)^2)</f>
        <v>8.2462112512353212</v>
      </c>
      <c r="O20" s="19">
        <v>20</v>
      </c>
      <c r="Q20" s="15" t="s">
        <v>102</v>
      </c>
      <c r="R20" s="19">
        <f>SQRT((N13-$N$11)^2+(O13-$O$11)^2)</f>
        <v>6.7082039324993694</v>
      </c>
      <c r="S20" s="19">
        <f>P13</f>
        <v>30</v>
      </c>
    </row>
    <row r="21" spans="2:38" x14ac:dyDescent="0.25">
      <c r="M21" s="6" t="s">
        <v>78</v>
      </c>
      <c r="N21" s="19">
        <f>SQRT((N14-$N$13)^2+(O13-$O$13)^2)</f>
        <v>5</v>
      </c>
      <c r="O21" s="19">
        <v>25</v>
      </c>
      <c r="Q21" s="15" t="s">
        <v>103</v>
      </c>
      <c r="R21" s="19">
        <f t="shared" ref="R21:R22" si="0">SQRT((N14-$N$11)^2+(O14-$O$11)^2)</f>
        <v>6.324555320336759</v>
      </c>
      <c r="S21" s="19">
        <f>P14</f>
        <v>25</v>
      </c>
    </row>
    <row r="22" spans="2:38" x14ac:dyDescent="0.25">
      <c r="M22" s="6" t="s">
        <v>79</v>
      </c>
      <c r="N22" s="19">
        <f>SQRT((N15-$N$13)^2+(O15-$O$13)^2)</f>
        <v>4.1231056256176606</v>
      </c>
      <c r="O22" s="19">
        <v>40</v>
      </c>
      <c r="Q22" s="15" t="s">
        <v>104</v>
      </c>
      <c r="R22" s="19">
        <f t="shared" si="0"/>
        <v>2.8284271247461903</v>
      </c>
      <c r="S22" s="19">
        <f>P15</f>
        <v>40</v>
      </c>
    </row>
    <row r="23" spans="2:38" x14ac:dyDescent="0.25">
      <c r="M23" s="21"/>
      <c r="N23" s="19"/>
      <c r="O23" s="19"/>
      <c r="Q23" s="21"/>
      <c r="R23" s="19"/>
      <c r="S23" s="19"/>
      <c r="AB23" s="15"/>
      <c r="AC23" s="37" t="s">
        <v>85</v>
      </c>
      <c r="AD23" s="32" t="s">
        <v>91</v>
      </c>
      <c r="AE23" s="32"/>
      <c r="AF23" s="32"/>
      <c r="AH23" s="15"/>
      <c r="AI23" s="15"/>
      <c r="AJ23" s="32" t="s">
        <v>91</v>
      </c>
      <c r="AK23" s="32"/>
      <c r="AL23" s="32"/>
    </row>
    <row r="24" spans="2:38" ht="30" customHeight="1" x14ac:dyDescent="0.25">
      <c r="Q24" s="16"/>
      <c r="R24" s="16"/>
      <c r="S24" s="16"/>
      <c r="AB24" s="15"/>
      <c r="AC24" s="37"/>
      <c r="AD24" s="15" t="s">
        <v>88</v>
      </c>
      <c r="AE24" s="15" t="s">
        <v>89</v>
      </c>
      <c r="AF24" s="15" t="s">
        <v>90</v>
      </c>
      <c r="AH24" s="15"/>
      <c r="AI24" s="25" t="s">
        <v>93</v>
      </c>
      <c r="AJ24" s="15" t="s">
        <v>88</v>
      </c>
      <c r="AK24" s="15" t="s">
        <v>89</v>
      </c>
      <c r="AL24" s="15" t="s">
        <v>90</v>
      </c>
    </row>
    <row r="25" spans="2:38" x14ac:dyDescent="0.25">
      <c r="B25" s="6" t="s">
        <v>49</v>
      </c>
      <c r="C25" s="6" t="s">
        <v>50</v>
      </c>
      <c r="D25" s="6" t="s">
        <v>61</v>
      </c>
      <c r="E25" s="6" t="s">
        <v>51</v>
      </c>
      <c r="F25" s="6"/>
      <c r="G25" s="6" t="s">
        <v>52</v>
      </c>
      <c r="H25" s="6" t="s">
        <v>53</v>
      </c>
      <c r="M25" s="22" t="s">
        <v>80</v>
      </c>
      <c r="N25" s="20">
        <f>N19*O19+N20*O20+N21*O21+N22*O22</f>
        <v>555.4715090369034</v>
      </c>
      <c r="O25" s="20"/>
      <c r="Q25" s="22" t="s">
        <v>80</v>
      </c>
      <c r="R25" s="20">
        <f>R19*S19+R20*S20+R21*S21+R22*S22</f>
        <v>600.55957072190461</v>
      </c>
      <c r="S25" s="20"/>
      <c r="AB25" s="15" t="s">
        <v>86</v>
      </c>
      <c r="AC25" s="15">
        <v>30000</v>
      </c>
      <c r="AD25" s="24">
        <v>3.25</v>
      </c>
      <c r="AE25" s="24">
        <v>4.5</v>
      </c>
      <c r="AF25" s="24">
        <v>1.25</v>
      </c>
      <c r="AH25" s="15" t="s">
        <v>92</v>
      </c>
      <c r="AI25" s="26">
        <v>8000</v>
      </c>
      <c r="AJ25" s="27">
        <v>4</v>
      </c>
      <c r="AK25" s="27">
        <v>3</v>
      </c>
      <c r="AL25" s="27">
        <v>1</v>
      </c>
    </row>
    <row r="26" spans="2:38" x14ac:dyDescent="0.25">
      <c r="B26" s="6"/>
      <c r="C26" s="6"/>
      <c r="D26" s="6" t="s">
        <v>62</v>
      </c>
      <c r="E26" s="6" t="s">
        <v>58</v>
      </c>
      <c r="F26" s="6" t="s">
        <v>63</v>
      </c>
      <c r="G26" s="6" t="s">
        <v>59</v>
      </c>
      <c r="H26" s="6" t="s">
        <v>60</v>
      </c>
      <c r="AB26" s="15" t="s">
        <v>87</v>
      </c>
      <c r="AC26" s="15">
        <v>30000</v>
      </c>
      <c r="AD26" s="24">
        <v>4.4000000000000004</v>
      </c>
      <c r="AE26" s="24">
        <v>1.5</v>
      </c>
      <c r="AF26" s="24">
        <v>1</v>
      </c>
      <c r="AH26" s="15" t="s">
        <v>94</v>
      </c>
      <c r="AI26" s="26">
        <v>13500</v>
      </c>
      <c r="AJ26" s="27">
        <v>3</v>
      </c>
      <c r="AK26" s="27">
        <v>4</v>
      </c>
      <c r="AL26" s="27">
        <v>1</v>
      </c>
    </row>
    <row r="27" spans="2:38" x14ac:dyDescent="0.25">
      <c r="B27" s="6">
        <v>1</v>
      </c>
      <c r="C27" s="6" t="s">
        <v>28</v>
      </c>
      <c r="D27" s="6">
        <v>0.12</v>
      </c>
      <c r="E27" s="6">
        <v>40</v>
      </c>
      <c r="F27" s="6">
        <f>D27*E27</f>
        <v>4.8</v>
      </c>
      <c r="G27" s="6">
        <v>8</v>
      </c>
      <c r="H27" s="6">
        <v>12</v>
      </c>
      <c r="M27" s="6" t="s">
        <v>72</v>
      </c>
      <c r="N27" s="6" t="s">
        <v>70</v>
      </c>
      <c r="O27" s="6"/>
      <c r="Q27" s="15" t="s">
        <v>72</v>
      </c>
      <c r="R27" s="15" t="s">
        <v>68</v>
      </c>
      <c r="S27" s="15"/>
      <c r="AH27" s="15" t="s">
        <v>95</v>
      </c>
      <c r="AI27" s="15">
        <v>11900</v>
      </c>
      <c r="AJ27" s="27">
        <v>2</v>
      </c>
      <c r="AK27" s="27">
        <v>5</v>
      </c>
      <c r="AL27" s="27">
        <v>4</v>
      </c>
    </row>
    <row r="28" spans="2:38" x14ac:dyDescent="0.25">
      <c r="B28" s="6">
        <v>2</v>
      </c>
      <c r="C28" s="6" t="s">
        <v>29</v>
      </c>
      <c r="D28" s="6">
        <v>0.1</v>
      </c>
      <c r="E28" s="6">
        <v>20</v>
      </c>
      <c r="F28" s="6">
        <f t="shared" ref="F28:F30" si="1">D28*E28</f>
        <v>2</v>
      </c>
      <c r="G28" s="6">
        <v>6</v>
      </c>
      <c r="H28" s="6">
        <v>4</v>
      </c>
      <c r="M28" s="6"/>
      <c r="N28" s="6" t="s">
        <v>74</v>
      </c>
      <c r="O28" s="6" t="s">
        <v>75</v>
      </c>
      <c r="Q28" s="15"/>
      <c r="R28" s="15" t="s">
        <v>74</v>
      </c>
      <c r="S28" s="15" t="s">
        <v>75</v>
      </c>
      <c r="AH28" s="15" t="s">
        <v>96</v>
      </c>
      <c r="AI28" s="15">
        <v>3200</v>
      </c>
      <c r="AJ28" s="27">
        <v>1</v>
      </c>
      <c r="AK28" s="27">
        <v>6</v>
      </c>
      <c r="AL28" s="27">
        <v>2</v>
      </c>
    </row>
    <row r="29" spans="2:38" x14ac:dyDescent="0.25">
      <c r="B29" s="6">
        <v>3</v>
      </c>
      <c r="C29" s="6" t="s">
        <v>30</v>
      </c>
      <c r="D29" s="6">
        <v>0.1</v>
      </c>
      <c r="E29" s="6">
        <v>60</v>
      </c>
      <c r="F29" s="6">
        <f t="shared" si="1"/>
        <v>6</v>
      </c>
      <c r="G29" s="6">
        <v>2</v>
      </c>
      <c r="H29" s="6">
        <v>8</v>
      </c>
      <c r="M29" s="6" t="s">
        <v>81</v>
      </c>
      <c r="N29" s="19">
        <f>SQRT((N11-N14)^2+(O11-O14)^2)</f>
        <v>6.324555320336759</v>
      </c>
      <c r="O29" s="19">
        <v>15</v>
      </c>
      <c r="Q29" s="15" t="s">
        <v>106</v>
      </c>
      <c r="R29" s="19">
        <f>SQRT((N11-$N$12)^2+(O11-$O$12)^2)</f>
        <v>6.4031242374328485</v>
      </c>
      <c r="S29" s="19">
        <f>P11</f>
        <v>15</v>
      </c>
      <c r="AH29" s="15" t="s">
        <v>97</v>
      </c>
      <c r="AI29" s="15">
        <v>1400</v>
      </c>
      <c r="AJ29" s="27">
        <v>1</v>
      </c>
      <c r="AK29" s="27">
        <v>3</v>
      </c>
      <c r="AL29" s="27">
        <v>5</v>
      </c>
    </row>
    <row r="30" spans="2:38" x14ac:dyDescent="0.25">
      <c r="B30" s="6">
        <v>4</v>
      </c>
      <c r="C30" s="6" t="s">
        <v>54</v>
      </c>
      <c r="D30" s="6">
        <v>0.1</v>
      </c>
      <c r="E30" s="6">
        <v>80</v>
      </c>
      <c r="F30" s="6">
        <f t="shared" si="1"/>
        <v>8</v>
      </c>
      <c r="G30" s="6">
        <v>10</v>
      </c>
      <c r="H30" s="6">
        <v>6</v>
      </c>
      <c r="M30" s="6" t="s">
        <v>82</v>
      </c>
      <c r="N30" s="19">
        <f>SQRT((N12-N14)^2+(O12-O14)^2)</f>
        <v>3.6055512754639891</v>
      </c>
      <c r="O30" s="19">
        <v>20</v>
      </c>
      <c r="Q30" s="15" t="s">
        <v>107</v>
      </c>
      <c r="R30" s="19">
        <f>SQRT((N13-$N$12)^2+(O13-$O$12)^2)</f>
        <v>8.2462112512353212</v>
      </c>
      <c r="S30" s="19">
        <f>P13</f>
        <v>30</v>
      </c>
      <c r="AH30" s="15" t="s">
        <v>98</v>
      </c>
      <c r="AI30" s="15">
        <v>800</v>
      </c>
      <c r="AJ30" s="27">
        <v>5</v>
      </c>
      <c r="AK30" s="27">
        <v>2</v>
      </c>
      <c r="AL30" s="27">
        <v>3</v>
      </c>
    </row>
    <row r="31" spans="2:38" x14ac:dyDescent="0.25">
      <c r="B31" s="17"/>
      <c r="D31" s="18" t="s">
        <v>57</v>
      </c>
      <c r="E31" s="6">
        <f>SUM(E27:E30)</f>
        <v>200</v>
      </c>
      <c r="F31" s="9"/>
      <c r="G31" s="9"/>
      <c r="H31" s="9"/>
      <c r="M31" s="6" t="s">
        <v>83</v>
      </c>
      <c r="N31" s="19">
        <f>SQRT((N13-N14)^2+(O13-O14)^2)</f>
        <v>5</v>
      </c>
      <c r="O31" s="19">
        <v>30</v>
      </c>
      <c r="Q31" s="15" t="s">
        <v>108</v>
      </c>
      <c r="R31" s="19">
        <f>SQRT((N14-$N$12)^2+(O14-$O$12)^2)</f>
        <v>3.6055512754639891</v>
      </c>
      <c r="S31" s="19">
        <f>P14</f>
        <v>25</v>
      </c>
      <c r="AH31" s="15" t="s">
        <v>99</v>
      </c>
      <c r="AI31" s="15">
        <v>6800</v>
      </c>
      <c r="AJ31" s="27">
        <v>4</v>
      </c>
      <c r="AK31" s="27">
        <v>1</v>
      </c>
      <c r="AL31" s="27">
        <v>2</v>
      </c>
    </row>
    <row r="32" spans="2:38" x14ac:dyDescent="0.25">
      <c r="B32" s="17"/>
      <c r="D32" s="18" t="s">
        <v>55</v>
      </c>
      <c r="E32" s="19">
        <f>SUMPRODUCT($F$27:$F$30,G27:G30)/$E$34</f>
        <v>6.8461538461538458</v>
      </c>
      <c r="F32" s="9"/>
      <c r="G32" s="9"/>
      <c r="H32" s="9"/>
      <c r="M32" s="6" t="s">
        <v>84</v>
      </c>
      <c r="N32" s="19">
        <f>SQRT((N14-N15)^2+(O14-O15)^2)</f>
        <v>5.6568542494923806</v>
      </c>
      <c r="O32" s="19">
        <v>40</v>
      </c>
      <c r="Q32" s="15" t="s">
        <v>109</v>
      </c>
      <c r="R32" s="19">
        <f>SQRT((N15-$N$12)^2+(O15-$O$12)^2)</f>
        <v>7.2801098892805181</v>
      </c>
      <c r="S32" s="19">
        <f>P15</f>
        <v>40</v>
      </c>
      <c r="AH32" s="15" t="s">
        <v>100</v>
      </c>
      <c r="AI32" s="15">
        <v>900</v>
      </c>
      <c r="AJ32" s="27">
        <v>5</v>
      </c>
      <c r="AK32" s="27">
        <v>2</v>
      </c>
      <c r="AL32" s="27">
        <v>1</v>
      </c>
    </row>
    <row r="33" spans="2:35" x14ac:dyDescent="0.25">
      <c r="B33" s="17"/>
      <c r="D33" s="18" t="s">
        <v>56</v>
      </c>
      <c r="E33" s="19">
        <f>SUMPRODUCT($F$27:$F$30,H27:H30)/$E$34</f>
        <v>7.7692307692307683</v>
      </c>
      <c r="F33" s="9"/>
      <c r="G33" s="9"/>
      <c r="H33" s="9"/>
      <c r="M33" s="21"/>
      <c r="N33" s="19"/>
      <c r="O33" s="19"/>
      <c r="Q33" s="21"/>
      <c r="R33" s="19"/>
      <c r="S33" s="19"/>
      <c r="AI33" s="23"/>
    </row>
    <row r="34" spans="2:35" x14ac:dyDescent="0.25">
      <c r="D34" s="18" t="s">
        <v>64</v>
      </c>
      <c r="E34" s="6">
        <f>SUM(F27:F30)</f>
        <v>20.8</v>
      </c>
      <c r="F34" s="9"/>
      <c r="G34" s="9"/>
      <c r="H34" s="9"/>
      <c r="M34" s="9"/>
      <c r="N34" s="9"/>
      <c r="O34" s="9"/>
      <c r="Q34" s="16"/>
      <c r="R34" s="16"/>
      <c r="S34" s="16"/>
    </row>
    <row r="35" spans="2:35" x14ac:dyDescent="0.25">
      <c r="F35" s="9"/>
      <c r="G35" s="9"/>
      <c r="M35" s="22" t="s">
        <v>80</v>
      </c>
      <c r="N35" s="20">
        <f>N29*O29+N30*O30+N31*O31+N32*O32</f>
        <v>543.25352529402642</v>
      </c>
      <c r="O35" s="20"/>
      <c r="Q35" s="22" t="s">
        <v>80</v>
      </c>
      <c r="R35" s="20">
        <f>R29*S29+R30*S30+R31*S31+R32*S32</f>
        <v>724.77637855637283</v>
      </c>
      <c r="S35" s="20"/>
    </row>
    <row r="38" spans="2:35" x14ac:dyDescent="0.25">
      <c r="M38" s="15" t="s">
        <v>72</v>
      </c>
      <c r="N38" s="15" t="s">
        <v>71</v>
      </c>
      <c r="O38" s="15"/>
    </row>
    <row r="39" spans="2:35" x14ac:dyDescent="0.25">
      <c r="M39" s="15"/>
      <c r="N39" s="15" t="s">
        <v>74</v>
      </c>
      <c r="O39" s="15" t="s">
        <v>75</v>
      </c>
      <c r="Q39" s="38" t="s">
        <v>113</v>
      </c>
      <c r="R39" s="36" t="s">
        <v>105</v>
      </c>
      <c r="S39" s="39">
        <f>MIN(N25,R25,N35,R35,N46)</f>
        <v>453.14312966264254</v>
      </c>
    </row>
    <row r="40" spans="2:35" x14ac:dyDescent="0.25">
      <c r="M40" s="15" t="s">
        <v>110</v>
      </c>
      <c r="N40" s="19">
        <f>SQRT((N11-$N$15)^2+(O11-$O$15)^2)</f>
        <v>2.8284271247461903</v>
      </c>
      <c r="O40" s="19">
        <f>P11</f>
        <v>15</v>
      </c>
      <c r="Q40" s="38"/>
      <c r="R40" s="36"/>
      <c r="S40" s="36"/>
    </row>
    <row r="41" spans="2:35" x14ac:dyDescent="0.25">
      <c r="M41" s="15" t="s">
        <v>111</v>
      </c>
      <c r="N41" s="19">
        <f t="shared" ref="N41:N43" si="2">SQRT((N12-$N$15)^2+(O12-$O$15)^2)</f>
        <v>7.2801098892805181</v>
      </c>
      <c r="O41" s="19">
        <f>P12</f>
        <v>20</v>
      </c>
      <c r="Q41" s="36" t="s">
        <v>114</v>
      </c>
      <c r="R41" s="36"/>
      <c r="S41" s="36"/>
    </row>
    <row r="42" spans="2:35" x14ac:dyDescent="0.25">
      <c r="M42" s="15" t="s">
        <v>112</v>
      </c>
      <c r="N42" s="19">
        <f t="shared" si="2"/>
        <v>4.1231056256176606</v>
      </c>
      <c r="O42" s="19">
        <f>P13</f>
        <v>30</v>
      </c>
      <c r="Q42" s="28" t="s">
        <v>7</v>
      </c>
      <c r="R42" s="28"/>
      <c r="S42" s="28" t="s">
        <v>71</v>
      </c>
    </row>
    <row r="43" spans="2:35" x14ac:dyDescent="0.25">
      <c r="M43" s="15" t="s">
        <v>84</v>
      </c>
      <c r="N43" s="19">
        <f t="shared" si="2"/>
        <v>5.6568542494923806</v>
      </c>
      <c r="O43" s="19">
        <f>P14</f>
        <v>25</v>
      </c>
    </row>
    <row r="44" spans="2:35" x14ac:dyDescent="0.25">
      <c r="M44" s="21"/>
      <c r="N44" s="19"/>
      <c r="O44" s="19"/>
    </row>
    <row r="45" spans="2:35" x14ac:dyDescent="0.25">
      <c r="M45" s="16"/>
      <c r="N45" s="16"/>
      <c r="O45" s="16"/>
    </row>
    <row r="46" spans="2:35" x14ac:dyDescent="0.25">
      <c r="M46" s="22" t="s">
        <v>80</v>
      </c>
      <c r="N46" s="20">
        <f>N40*O40+N41*O41+N42*O42+N43*O43</f>
        <v>453.14312966264254</v>
      </c>
      <c r="O46" s="20"/>
    </row>
  </sheetData>
  <mergeCells count="7">
    <mergeCell ref="Q41:S41"/>
    <mergeCell ref="AC23:AC24"/>
    <mergeCell ref="AD23:AF23"/>
    <mergeCell ref="AJ23:AL23"/>
    <mergeCell ref="Q39:Q40"/>
    <mergeCell ref="R39:R40"/>
    <mergeCell ref="S39:S40"/>
  </mergeCells>
  <pageMargins left="0.7" right="0.7" top="0.75" bottom="0.75" header="0.3" footer="0.3"/>
  <pageSetup paperSize="9" scale="55" orientation="portrait" r:id="rId1"/>
  <colBreaks count="2" manualBreakCount="2">
    <brk id="11" max="46" man="1"/>
    <brk id="23" max="46"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view="pageBreakPreview" zoomScale="85" zoomScaleNormal="85" zoomScaleSheetLayoutView="85" workbookViewId="0">
      <selection activeCell="L31" sqref="L31"/>
    </sheetView>
  </sheetViews>
  <sheetFormatPr defaultRowHeight="15" x14ac:dyDescent="0.25"/>
  <cols>
    <col min="1" max="1" width="8.42578125" bestFit="1" customWidth="1"/>
    <col min="2" max="2" width="11.5703125" bestFit="1" customWidth="1"/>
    <col min="3" max="3" width="12.7109375" bestFit="1" customWidth="1"/>
    <col min="4" max="4" width="11.5703125" bestFit="1" customWidth="1"/>
    <col min="5" max="5" width="16.7109375" bestFit="1" customWidth="1"/>
  </cols>
  <sheetData>
    <row r="1" spans="1:5" x14ac:dyDescent="0.25">
      <c r="A1" s="31" t="s">
        <v>7</v>
      </c>
      <c r="B1" s="31" t="s">
        <v>115</v>
      </c>
      <c r="C1" s="31" t="s">
        <v>117</v>
      </c>
      <c r="D1" s="31" t="s">
        <v>116</v>
      </c>
      <c r="E1" s="41" t="s">
        <v>118</v>
      </c>
    </row>
    <row r="2" spans="1:5" x14ac:dyDescent="0.25">
      <c r="A2" s="31" t="s">
        <v>28</v>
      </c>
      <c r="B2" s="40">
        <v>350000</v>
      </c>
      <c r="C2" s="31">
        <v>5</v>
      </c>
      <c r="D2" s="42">
        <f>B2+(C2*$E$2)</f>
        <v>400000</v>
      </c>
      <c r="E2" s="40">
        <v>10000</v>
      </c>
    </row>
    <row r="3" spans="1:5" x14ac:dyDescent="0.25">
      <c r="A3" s="31" t="s">
        <v>29</v>
      </c>
      <c r="B3" s="40">
        <v>170000</v>
      </c>
      <c r="C3" s="31">
        <v>25</v>
      </c>
      <c r="D3" s="42">
        <f t="shared" ref="D3:D5" si="0">B3+(C3*$E$2)</f>
        <v>420000</v>
      </c>
      <c r="E3" s="40">
        <v>10000</v>
      </c>
    </row>
    <row r="4" spans="1:5" x14ac:dyDescent="0.25">
      <c r="A4" s="31" t="s">
        <v>30</v>
      </c>
      <c r="B4" s="40">
        <v>100000</v>
      </c>
      <c r="C4" s="31">
        <v>40</v>
      </c>
      <c r="D4" s="42">
        <f t="shared" si="0"/>
        <v>500000</v>
      </c>
      <c r="E4" s="40">
        <v>10000</v>
      </c>
    </row>
    <row r="5" spans="1:5" x14ac:dyDescent="0.25">
      <c r="A5" s="31" t="s">
        <v>54</v>
      </c>
      <c r="B5" s="40">
        <v>250000</v>
      </c>
      <c r="C5" s="31">
        <v>20</v>
      </c>
      <c r="D5" s="42">
        <f t="shared" si="0"/>
        <v>450000</v>
      </c>
      <c r="E5" s="40">
        <v>10000</v>
      </c>
    </row>
    <row r="8" spans="1:5" x14ac:dyDescent="0.25">
      <c r="A8" s="29" t="s">
        <v>122</v>
      </c>
      <c r="B8" s="29" t="s">
        <v>28</v>
      </c>
      <c r="C8" s="29" t="s">
        <v>29</v>
      </c>
      <c r="D8" s="29" t="s">
        <v>30</v>
      </c>
      <c r="E8" s="29" t="s">
        <v>54</v>
      </c>
    </row>
    <row r="9" spans="1:5" x14ac:dyDescent="0.25">
      <c r="A9" s="29">
        <v>0</v>
      </c>
      <c r="B9" s="29">
        <f>$B$2+(A9*$C$2)</f>
        <v>350000</v>
      </c>
      <c r="C9" s="29">
        <f>$B$3+(A9*$C$3)</f>
        <v>170000</v>
      </c>
      <c r="D9" s="29">
        <f>$B$4+(A9*$C$4)</f>
        <v>100000</v>
      </c>
      <c r="E9" s="29">
        <f>$B$5+(A9*$C$5)</f>
        <v>250000</v>
      </c>
    </row>
    <row r="10" spans="1:5" x14ac:dyDescent="0.25">
      <c r="A10" s="29">
        <f>A9+500</f>
        <v>500</v>
      </c>
      <c r="B10" s="29">
        <f t="shared" ref="B10:B29" si="1">$B$2+(A10*$C$2)</f>
        <v>352500</v>
      </c>
      <c r="C10" s="29">
        <f t="shared" ref="C10:C29" si="2">$B$3+(A10*$C$3)</f>
        <v>182500</v>
      </c>
      <c r="D10" s="29">
        <f t="shared" ref="D10:D29" si="3">$B$4+(A10*$C$4)</f>
        <v>120000</v>
      </c>
      <c r="E10" s="29">
        <f t="shared" ref="E10:E29" si="4">$B$5+(A10*$C$5)</f>
        <v>260000</v>
      </c>
    </row>
    <row r="11" spans="1:5" x14ac:dyDescent="0.25">
      <c r="A11" s="29">
        <f t="shared" ref="A11:A29" si="5">A10+500</f>
        <v>1000</v>
      </c>
      <c r="B11" s="29">
        <f t="shared" si="1"/>
        <v>355000</v>
      </c>
      <c r="C11" s="29">
        <f t="shared" si="2"/>
        <v>195000</v>
      </c>
      <c r="D11" s="29">
        <f t="shared" si="3"/>
        <v>140000</v>
      </c>
      <c r="E11" s="29">
        <f t="shared" si="4"/>
        <v>270000</v>
      </c>
    </row>
    <row r="12" spans="1:5" x14ac:dyDescent="0.25">
      <c r="A12" s="29">
        <f t="shared" si="5"/>
        <v>1500</v>
      </c>
      <c r="B12" s="29">
        <f t="shared" si="1"/>
        <v>357500</v>
      </c>
      <c r="C12" s="29">
        <f t="shared" si="2"/>
        <v>207500</v>
      </c>
      <c r="D12" s="29">
        <f t="shared" si="3"/>
        <v>160000</v>
      </c>
      <c r="E12" s="29">
        <f t="shared" si="4"/>
        <v>280000</v>
      </c>
    </row>
    <row r="13" spans="1:5" x14ac:dyDescent="0.25">
      <c r="A13" s="29">
        <f t="shared" si="5"/>
        <v>2000</v>
      </c>
      <c r="B13" s="29">
        <f t="shared" si="1"/>
        <v>360000</v>
      </c>
      <c r="C13" s="29">
        <f t="shared" si="2"/>
        <v>220000</v>
      </c>
      <c r="D13" s="29">
        <f t="shared" si="3"/>
        <v>180000</v>
      </c>
      <c r="E13" s="29">
        <f t="shared" si="4"/>
        <v>290000</v>
      </c>
    </row>
    <row r="14" spans="1:5" x14ac:dyDescent="0.25">
      <c r="A14" s="29">
        <f t="shared" si="5"/>
        <v>2500</v>
      </c>
      <c r="B14" s="29">
        <f t="shared" si="1"/>
        <v>362500</v>
      </c>
      <c r="C14" s="29">
        <f t="shared" si="2"/>
        <v>232500</v>
      </c>
      <c r="D14" s="29">
        <f t="shared" si="3"/>
        <v>200000</v>
      </c>
      <c r="E14" s="29">
        <f t="shared" si="4"/>
        <v>300000</v>
      </c>
    </row>
    <row r="15" spans="1:5" x14ac:dyDescent="0.25">
      <c r="A15" s="29">
        <f t="shared" si="5"/>
        <v>3000</v>
      </c>
      <c r="B15" s="29">
        <f t="shared" si="1"/>
        <v>365000</v>
      </c>
      <c r="C15" s="29">
        <f t="shared" si="2"/>
        <v>245000</v>
      </c>
      <c r="D15" s="29">
        <f t="shared" si="3"/>
        <v>220000</v>
      </c>
      <c r="E15" s="29">
        <f t="shared" si="4"/>
        <v>310000</v>
      </c>
    </row>
    <row r="16" spans="1:5" x14ac:dyDescent="0.25">
      <c r="A16" s="29">
        <f t="shared" si="5"/>
        <v>3500</v>
      </c>
      <c r="B16" s="29">
        <f t="shared" si="1"/>
        <v>367500</v>
      </c>
      <c r="C16" s="29">
        <f t="shared" si="2"/>
        <v>257500</v>
      </c>
      <c r="D16" s="29">
        <f t="shared" si="3"/>
        <v>240000</v>
      </c>
      <c r="E16" s="29">
        <f t="shared" si="4"/>
        <v>320000</v>
      </c>
    </row>
    <row r="17" spans="1:5" x14ac:dyDescent="0.25">
      <c r="A17" s="29">
        <f t="shared" si="5"/>
        <v>4000</v>
      </c>
      <c r="B17" s="29">
        <f t="shared" si="1"/>
        <v>370000</v>
      </c>
      <c r="C17" s="29">
        <f t="shared" si="2"/>
        <v>270000</v>
      </c>
      <c r="D17" s="29">
        <f t="shared" si="3"/>
        <v>260000</v>
      </c>
      <c r="E17" s="29">
        <f t="shared" si="4"/>
        <v>330000</v>
      </c>
    </row>
    <row r="18" spans="1:5" x14ac:dyDescent="0.25">
      <c r="A18" s="29">
        <f t="shared" si="5"/>
        <v>4500</v>
      </c>
      <c r="B18" s="29">
        <f t="shared" si="1"/>
        <v>372500</v>
      </c>
      <c r="C18" s="29">
        <f t="shared" si="2"/>
        <v>282500</v>
      </c>
      <c r="D18" s="29">
        <f t="shared" si="3"/>
        <v>280000</v>
      </c>
      <c r="E18" s="29">
        <f t="shared" si="4"/>
        <v>340000</v>
      </c>
    </row>
    <row r="19" spans="1:5" x14ac:dyDescent="0.25">
      <c r="A19" s="29">
        <f t="shared" si="5"/>
        <v>5000</v>
      </c>
      <c r="B19" s="29">
        <f t="shared" si="1"/>
        <v>375000</v>
      </c>
      <c r="C19" s="29">
        <f t="shared" si="2"/>
        <v>295000</v>
      </c>
      <c r="D19" s="29">
        <f t="shared" si="3"/>
        <v>300000</v>
      </c>
      <c r="E19" s="29">
        <f t="shared" si="4"/>
        <v>350000</v>
      </c>
    </row>
    <row r="20" spans="1:5" x14ac:dyDescent="0.25">
      <c r="A20" s="29">
        <f t="shared" si="5"/>
        <v>5500</v>
      </c>
      <c r="B20" s="29">
        <f t="shared" si="1"/>
        <v>377500</v>
      </c>
      <c r="C20" s="29">
        <f t="shared" si="2"/>
        <v>307500</v>
      </c>
      <c r="D20" s="29">
        <f t="shared" si="3"/>
        <v>320000</v>
      </c>
      <c r="E20" s="29">
        <f t="shared" si="4"/>
        <v>360000</v>
      </c>
    </row>
    <row r="21" spans="1:5" x14ac:dyDescent="0.25">
      <c r="A21" s="29">
        <f t="shared" si="5"/>
        <v>6000</v>
      </c>
      <c r="B21" s="29">
        <f t="shared" si="1"/>
        <v>380000</v>
      </c>
      <c r="C21" s="29">
        <f t="shared" si="2"/>
        <v>320000</v>
      </c>
      <c r="D21" s="29">
        <f t="shared" si="3"/>
        <v>340000</v>
      </c>
      <c r="E21" s="29">
        <f t="shared" si="4"/>
        <v>370000</v>
      </c>
    </row>
    <row r="22" spans="1:5" x14ac:dyDescent="0.25">
      <c r="A22" s="29">
        <f t="shared" si="5"/>
        <v>6500</v>
      </c>
      <c r="B22" s="29">
        <f t="shared" si="1"/>
        <v>382500</v>
      </c>
      <c r="C22" s="29">
        <f t="shared" si="2"/>
        <v>332500</v>
      </c>
      <c r="D22" s="29">
        <f t="shared" si="3"/>
        <v>360000</v>
      </c>
      <c r="E22" s="29">
        <f t="shared" si="4"/>
        <v>380000</v>
      </c>
    </row>
    <row r="23" spans="1:5" x14ac:dyDescent="0.25">
      <c r="A23" s="29">
        <f t="shared" si="5"/>
        <v>7000</v>
      </c>
      <c r="B23" s="29">
        <f t="shared" si="1"/>
        <v>385000</v>
      </c>
      <c r="C23" s="29">
        <f t="shared" si="2"/>
        <v>345000</v>
      </c>
      <c r="D23" s="29">
        <f t="shared" si="3"/>
        <v>380000</v>
      </c>
      <c r="E23" s="29">
        <f t="shared" si="4"/>
        <v>390000</v>
      </c>
    </row>
    <row r="24" spans="1:5" x14ac:dyDescent="0.25">
      <c r="A24" s="29">
        <f t="shared" si="5"/>
        <v>7500</v>
      </c>
      <c r="B24" s="29">
        <f t="shared" si="1"/>
        <v>387500</v>
      </c>
      <c r="C24" s="29">
        <f t="shared" si="2"/>
        <v>357500</v>
      </c>
      <c r="D24" s="29">
        <f t="shared" si="3"/>
        <v>400000</v>
      </c>
      <c r="E24" s="29">
        <f t="shared" si="4"/>
        <v>400000</v>
      </c>
    </row>
    <row r="25" spans="1:5" x14ac:dyDescent="0.25">
      <c r="A25" s="29">
        <f t="shared" si="5"/>
        <v>8000</v>
      </c>
      <c r="B25" s="29">
        <f t="shared" si="1"/>
        <v>390000</v>
      </c>
      <c r="C25" s="29">
        <f t="shared" si="2"/>
        <v>370000</v>
      </c>
      <c r="D25" s="29">
        <f t="shared" si="3"/>
        <v>420000</v>
      </c>
      <c r="E25" s="29">
        <f t="shared" si="4"/>
        <v>410000</v>
      </c>
    </row>
    <row r="26" spans="1:5" x14ac:dyDescent="0.25">
      <c r="A26" s="29">
        <f t="shared" si="5"/>
        <v>8500</v>
      </c>
      <c r="B26" s="29">
        <f t="shared" si="1"/>
        <v>392500</v>
      </c>
      <c r="C26" s="29">
        <f t="shared" si="2"/>
        <v>382500</v>
      </c>
      <c r="D26" s="29">
        <f t="shared" si="3"/>
        <v>440000</v>
      </c>
      <c r="E26" s="29">
        <f t="shared" si="4"/>
        <v>420000</v>
      </c>
    </row>
    <row r="27" spans="1:5" x14ac:dyDescent="0.25">
      <c r="A27" s="29">
        <f t="shared" si="5"/>
        <v>9000</v>
      </c>
      <c r="B27" s="29">
        <f t="shared" si="1"/>
        <v>395000</v>
      </c>
      <c r="C27" s="29">
        <f t="shared" si="2"/>
        <v>395000</v>
      </c>
      <c r="D27" s="29">
        <f t="shared" si="3"/>
        <v>460000</v>
      </c>
      <c r="E27" s="29">
        <f t="shared" si="4"/>
        <v>430000</v>
      </c>
    </row>
    <row r="28" spans="1:5" x14ac:dyDescent="0.25">
      <c r="A28" s="29">
        <f t="shared" si="5"/>
        <v>9500</v>
      </c>
      <c r="B28" s="29">
        <f t="shared" si="1"/>
        <v>397500</v>
      </c>
      <c r="C28" s="29">
        <f t="shared" si="2"/>
        <v>407500</v>
      </c>
      <c r="D28" s="29">
        <f t="shared" si="3"/>
        <v>480000</v>
      </c>
      <c r="E28" s="29">
        <f t="shared" si="4"/>
        <v>440000</v>
      </c>
    </row>
    <row r="29" spans="1:5" x14ac:dyDescent="0.25">
      <c r="A29" s="29">
        <f t="shared" si="5"/>
        <v>10000</v>
      </c>
      <c r="B29" s="29">
        <f t="shared" si="1"/>
        <v>400000</v>
      </c>
      <c r="C29" s="29">
        <f t="shared" si="2"/>
        <v>420000</v>
      </c>
      <c r="D29" s="29">
        <f t="shared" si="3"/>
        <v>500000</v>
      </c>
      <c r="E29" s="29">
        <f t="shared" si="4"/>
        <v>450000</v>
      </c>
    </row>
  </sheetData>
  <pageMargins left="0.7" right="0.7" top="0.75" bottom="0.75" header="0.3" footer="0.3"/>
  <pageSetup scale="72" orientation="portrait" r:id="rId1"/>
  <colBreaks count="1" manualBreakCount="1">
    <brk id="12"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Views>
    <sheetView tabSelected="1" zoomScale="85" zoomScaleNormal="85" workbookViewId="0">
      <selection activeCell="D40" sqref="D40"/>
    </sheetView>
  </sheetViews>
  <sheetFormatPr defaultRowHeight="15" x14ac:dyDescent="0.25"/>
  <cols>
    <col min="1" max="1" width="14.140625" bestFit="1" customWidth="1"/>
    <col min="2" max="2" width="11.5703125" bestFit="1" customWidth="1"/>
    <col min="3" max="3" width="18.28515625" bestFit="1" customWidth="1"/>
    <col min="4" max="4" width="11.85546875" bestFit="1" customWidth="1"/>
    <col min="5" max="5" width="16.7109375" bestFit="1" customWidth="1"/>
  </cols>
  <sheetData>
    <row r="1" spans="1:6" x14ac:dyDescent="0.25">
      <c r="A1" s="31" t="s">
        <v>7</v>
      </c>
      <c r="B1" s="31" t="s">
        <v>115</v>
      </c>
      <c r="C1" s="31" t="s">
        <v>117</v>
      </c>
      <c r="D1" s="31" t="s">
        <v>116</v>
      </c>
      <c r="E1" s="41" t="s">
        <v>118</v>
      </c>
    </row>
    <row r="2" spans="1:6" x14ac:dyDescent="0.25">
      <c r="A2" s="31" t="s">
        <v>119</v>
      </c>
      <c r="B2" s="40">
        <v>30000</v>
      </c>
      <c r="C2" s="31">
        <v>75</v>
      </c>
      <c r="D2" s="42">
        <f>B2+(C2*$E$2)</f>
        <v>180000</v>
      </c>
      <c r="E2" s="40">
        <v>2000</v>
      </c>
    </row>
    <row r="3" spans="1:6" x14ac:dyDescent="0.25">
      <c r="A3" s="31" t="s">
        <v>120</v>
      </c>
      <c r="B3" s="40">
        <v>60000</v>
      </c>
      <c r="C3" s="31">
        <v>45</v>
      </c>
      <c r="D3" s="42">
        <f t="shared" ref="D3:D5" si="0">B3+(C3*$E$2)</f>
        <v>150000</v>
      </c>
      <c r="E3" s="40">
        <v>2000</v>
      </c>
    </row>
    <row r="4" spans="1:6" x14ac:dyDescent="0.25">
      <c r="A4" s="31" t="s">
        <v>121</v>
      </c>
      <c r="B4" s="40">
        <v>110000</v>
      </c>
      <c r="C4" s="31">
        <v>25</v>
      </c>
      <c r="D4" s="42">
        <f t="shared" si="0"/>
        <v>160000</v>
      </c>
      <c r="E4" s="40">
        <v>2000</v>
      </c>
    </row>
    <row r="5" spans="1:6" x14ac:dyDescent="0.25">
      <c r="A5" s="30"/>
      <c r="B5" s="30"/>
      <c r="C5" s="30"/>
      <c r="D5" s="30"/>
      <c r="E5" s="30"/>
      <c r="F5" s="30"/>
    </row>
    <row r="6" spans="1:6" x14ac:dyDescent="0.25">
      <c r="A6" s="30"/>
      <c r="B6" s="30"/>
      <c r="C6" s="30"/>
      <c r="D6" s="30"/>
      <c r="E6" s="30"/>
      <c r="F6" s="30"/>
    </row>
    <row r="7" spans="1:6" x14ac:dyDescent="0.25">
      <c r="A7" s="7" t="s">
        <v>122</v>
      </c>
      <c r="B7" s="29" t="s">
        <v>123</v>
      </c>
      <c r="C7" s="29" t="s">
        <v>124</v>
      </c>
      <c r="D7" s="29" t="s">
        <v>125</v>
      </c>
      <c r="E7" s="30"/>
      <c r="F7" s="30"/>
    </row>
    <row r="8" spans="1:6" x14ac:dyDescent="0.25">
      <c r="A8" s="29">
        <v>0</v>
      </c>
      <c r="B8" s="29">
        <f>$B$2+(A8*$C$2)</f>
        <v>30000</v>
      </c>
      <c r="C8" s="29">
        <f>$B$3+(A8*$C$3)</f>
        <v>60000</v>
      </c>
      <c r="D8" s="29">
        <f>$B$4+(A8*$C$4)</f>
        <v>110000</v>
      </c>
      <c r="E8" s="30"/>
      <c r="F8" s="30"/>
    </row>
    <row r="9" spans="1:6" x14ac:dyDescent="0.25">
      <c r="A9" s="29">
        <v>500</v>
      </c>
      <c r="B9" s="29">
        <f t="shared" ref="B9:B16" si="1">$B$2+(A9*$C$2)</f>
        <v>67500</v>
      </c>
      <c r="C9" s="29">
        <f t="shared" ref="C9:C16" si="2">$B$3+(A9*$C$3)</f>
        <v>82500</v>
      </c>
      <c r="D9" s="29">
        <f t="shared" ref="D9:D16" si="3">$B$4+(A9*$C$4)</f>
        <v>122500</v>
      </c>
    </row>
    <row r="10" spans="1:6" x14ac:dyDescent="0.25">
      <c r="A10" s="29">
        <v>1000</v>
      </c>
      <c r="B10" s="29">
        <f t="shared" si="1"/>
        <v>105000</v>
      </c>
      <c r="C10" s="29">
        <f t="shared" si="2"/>
        <v>105000</v>
      </c>
      <c r="D10" s="29">
        <f t="shared" si="3"/>
        <v>135000</v>
      </c>
    </row>
    <row r="11" spans="1:6" x14ac:dyDescent="0.25">
      <c r="A11" s="29">
        <v>1500</v>
      </c>
      <c r="B11" s="29">
        <f t="shared" si="1"/>
        <v>142500</v>
      </c>
      <c r="C11" s="29">
        <f t="shared" si="2"/>
        <v>127500</v>
      </c>
      <c r="D11" s="29">
        <f t="shared" si="3"/>
        <v>147500</v>
      </c>
    </row>
    <row r="12" spans="1:6" x14ac:dyDescent="0.25">
      <c r="A12" s="29">
        <v>2000</v>
      </c>
      <c r="B12" s="29">
        <f t="shared" si="1"/>
        <v>180000</v>
      </c>
      <c r="C12" s="29">
        <f t="shared" si="2"/>
        <v>150000</v>
      </c>
      <c r="D12" s="29">
        <f t="shared" si="3"/>
        <v>160000</v>
      </c>
    </row>
    <row r="13" spans="1:6" x14ac:dyDescent="0.25">
      <c r="A13" s="29">
        <v>2500</v>
      </c>
      <c r="B13" s="29">
        <f t="shared" si="1"/>
        <v>217500</v>
      </c>
      <c r="C13" s="29">
        <f t="shared" si="2"/>
        <v>172500</v>
      </c>
      <c r="D13" s="29">
        <f t="shared" si="3"/>
        <v>172500</v>
      </c>
    </row>
    <row r="14" spans="1:6" x14ac:dyDescent="0.25">
      <c r="A14" s="29">
        <v>3000</v>
      </c>
      <c r="B14" s="29">
        <f t="shared" si="1"/>
        <v>255000</v>
      </c>
      <c r="C14" s="29">
        <f t="shared" si="2"/>
        <v>195000</v>
      </c>
      <c r="D14" s="29">
        <f t="shared" si="3"/>
        <v>185000</v>
      </c>
    </row>
    <row r="15" spans="1:6" x14ac:dyDescent="0.25">
      <c r="A15" s="29">
        <v>3500</v>
      </c>
      <c r="B15" s="29">
        <f t="shared" si="1"/>
        <v>292500</v>
      </c>
      <c r="C15" s="29">
        <f t="shared" si="2"/>
        <v>217500</v>
      </c>
      <c r="D15" s="29">
        <f t="shared" si="3"/>
        <v>197500</v>
      </c>
    </row>
    <row r="16" spans="1:6" x14ac:dyDescent="0.25">
      <c r="A16" s="29">
        <v>4000</v>
      </c>
      <c r="B16" s="29">
        <f t="shared" si="1"/>
        <v>330000</v>
      </c>
      <c r="C16" s="29">
        <f t="shared" si="2"/>
        <v>240000</v>
      </c>
      <c r="D16" s="29">
        <f t="shared" si="3"/>
        <v>210000</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Lab_01_Task</vt:lpstr>
      <vt:lpstr>Sheet1</vt:lpstr>
      <vt:lpstr>LAB_01</vt:lpstr>
      <vt:lpstr>LAB_02</vt:lpstr>
      <vt:lpstr>LAB_03-1</vt:lpstr>
      <vt:lpstr>LAB_03-2</vt:lpstr>
      <vt:lpstr>LAB_02!Print_Area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ABUBAKAR ATIQ</dc:creator>
  <cp:lastModifiedBy>Lenovo</cp:lastModifiedBy>
  <cp:lastPrinted>2025-11-05T20:35:50Z</cp:lastPrinted>
  <dcterms:created xsi:type="dcterms:W3CDTF">2025-10-16T06:35:16Z</dcterms:created>
  <dcterms:modified xsi:type="dcterms:W3CDTF">2025-11-05T20:36:13Z</dcterms:modified>
</cp:coreProperties>
</file>