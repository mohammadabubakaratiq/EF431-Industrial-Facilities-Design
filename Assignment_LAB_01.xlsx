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07_01_EF431_Industrial Facilities Design\Lab_EF431_Industrial_Facilities_Design\"/>
    </mc:Choice>
  </mc:AlternateContent>
  <bookViews>
    <workbookView xWindow="0" yWindow="0" windowWidth="28800" windowHeight="12000"/>
  </bookViews>
  <sheets>
    <sheet name="Lab_01_Tas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4" i="1" l="1"/>
  <c r="AO14" i="1" s="1"/>
  <c r="AI15" i="1"/>
  <c r="AO15" i="1" s="1"/>
  <c r="AI16" i="1"/>
  <c r="AO16" i="1" s="1"/>
  <c r="AI17" i="1"/>
  <c r="AO17" i="1" s="1"/>
  <c r="AI18" i="1"/>
  <c r="AO18" i="1" s="1"/>
  <c r="AI13" i="1"/>
  <c r="AO13" i="1"/>
  <c r="AN13" i="1"/>
  <c r="AM13" i="1"/>
  <c r="X36" i="1"/>
  <c r="AD35" i="1"/>
  <c r="AC35" i="1"/>
  <c r="AB35" i="1"/>
  <c r="AD34" i="1"/>
  <c r="AC34" i="1"/>
  <c r="AB34" i="1"/>
  <c r="AD33" i="1"/>
  <c r="AC33" i="1"/>
  <c r="AB33" i="1"/>
  <c r="AD32" i="1"/>
  <c r="AC32" i="1"/>
  <c r="AB32" i="1"/>
  <c r="AD31" i="1"/>
  <c r="AC31" i="1"/>
  <c r="AB31" i="1"/>
  <c r="AD30" i="1"/>
  <c r="AD36" i="1" s="1"/>
  <c r="AC30" i="1"/>
  <c r="AC36" i="1" s="1"/>
  <c r="AB30" i="1"/>
  <c r="T11" i="1"/>
  <c r="T12" i="1"/>
  <c r="T13" i="1"/>
  <c r="T14" i="1"/>
  <c r="T15" i="1"/>
  <c r="T10" i="1"/>
  <c r="T16" i="1" s="1"/>
  <c r="S11" i="1"/>
  <c r="S12" i="1"/>
  <c r="S13" i="1"/>
  <c r="S14" i="1"/>
  <c r="S15" i="1"/>
  <c r="S10" i="1"/>
  <c r="R11" i="1"/>
  <c r="R12" i="1"/>
  <c r="R13" i="1"/>
  <c r="R14" i="1"/>
  <c r="R15" i="1"/>
  <c r="R10" i="1"/>
  <c r="N16" i="1"/>
  <c r="G21" i="1"/>
  <c r="AI19" i="1" l="1"/>
  <c r="AO19" i="1"/>
  <c r="AN14" i="1"/>
  <c r="AM15" i="1"/>
  <c r="AM19" i="1" s="1"/>
  <c r="AI21" i="1" s="1"/>
  <c r="AN17" i="1"/>
  <c r="AN19" i="1"/>
  <c r="AM14" i="1"/>
  <c r="AN15" i="1"/>
  <c r="AM16" i="1"/>
  <c r="AN16" i="1"/>
  <c r="AM17" i="1"/>
  <c r="AM18" i="1"/>
  <c r="AN18" i="1"/>
  <c r="AB36" i="1"/>
  <c r="X38" i="1" s="1"/>
  <c r="S16" i="1"/>
  <c r="R16" i="1"/>
  <c r="N18" i="1" s="1"/>
</calcChain>
</file>

<file path=xl/sharedStrings.xml><?xml version="1.0" encoding="utf-8"?>
<sst xmlns="http://schemas.openxmlformats.org/spreadsheetml/2006/main" count="97" uniqueCount="26">
  <si>
    <t>Industrial Facilities Design</t>
  </si>
  <si>
    <t>Course Code: EF431</t>
  </si>
  <si>
    <t>Location</t>
  </si>
  <si>
    <t>Score</t>
  </si>
  <si>
    <t>A</t>
  </si>
  <si>
    <t>B</t>
  </si>
  <si>
    <t>C</t>
  </si>
  <si>
    <t>Weight</t>
  </si>
  <si>
    <t>Factor</t>
  </si>
  <si>
    <t>Easy Access</t>
  </si>
  <si>
    <t>Parking Facilities</t>
  </si>
  <si>
    <t>Display area</t>
  </si>
  <si>
    <t>Shopper (walking) traffic</t>
  </si>
  <si>
    <t>Transportation costs</t>
  </si>
  <si>
    <t>Operating costs</t>
  </si>
  <si>
    <t>Total Weight Sum -&gt;&gt;&gt;&gt;</t>
  </si>
  <si>
    <t>(1)</t>
  </si>
  <si>
    <t>(2)</t>
  </si>
  <si>
    <t>(3)</t>
  </si>
  <si>
    <t>(4)</t>
  </si>
  <si>
    <t>Composite Score</t>
  </si>
  <si>
    <t>(1)x(2)</t>
  </si>
  <si>
    <t>(1)x(3)</t>
  </si>
  <si>
    <t>(1)x(4)</t>
  </si>
  <si>
    <t>Total Score -&gt;&gt;&gt;&gt;</t>
  </si>
  <si>
    <t>Decision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</si>
</sst>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right"/>
    </xf>
    <xf numFmtId="0" fontId="0" fillId="2" borderId="1" xfId="0" applyFill="1" applyBorder="1"/>
    <xf numFmtId="4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547687</xdr:colOff>
      <xdr:row>0</xdr:row>
      <xdr:rowOff>0</xdr:rowOff>
    </xdr:from>
    <xdr:to>
      <xdr:col>9</xdr:col>
      <xdr:colOff>2970</xdr:colOff>
      <xdr:row>7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B26172-C347-4D72-A72E-BE20F39E4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9343" y="0"/>
          <a:ext cx="4205877" cy="1460500"/>
        </a:xfrm>
        <a:prstGeom prst="rect">
          <a:avLst/>
        </a:prstGeom>
      </xdr:spPr>
    </xdr:pic>
    <xdr:clientData/>
  </xdr:twoCellAnchor>
  <xdr:twoCellAnchor>
    <xdr:from>
      <xdr:col>12</xdr:col>
      <xdr:colOff>83343</xdr:colOff>
      <xdr:row>1</xdr:row>
      <xdr:rowOff>59531</xdr:rowOff>
    </xdr:from>
    <xdr:to>
      <xdr:col>20</xdr:col>
      <xdr:colOff>476250</xdr:colOff>
      <xdr:row>4</xdr:row>
      <xdr:rowOff>35719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CB1020-3111-41CF-A5F3-CF4B695DE87E}"/>
            </a:ext>
          </a:extLst>
        </xdr:cNvPr>
        <xdr:cNvSpPr txBox="1"/>
      </xdr:nvSpPr>
      <xdr:spPr>
        <a:xfrm>
          <a:off x="5881687" y="250031"/>
          <a:ext cx="5250657" cy="5476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a.</a:t>
          </a:r>
          <a:r>
            <a:rPr lang="en-US" sz="1200" baseline="0"/>
            <a:t> Using the factor ratings shown below, determine which location alternative should be chosen on the basis of maximum composite score.</a:t>
          </a:r>
        </a:p>
        <a:p>
          <a:endParaRPr lang="en-PK" sz="1100"/>
        </a:p>
      </xdr:txBody>
    </xdr:sp>
    <xdr:clientData/>
  </xdr:twoCellAnchor>
  <xdr:twoCellAnchor>
    <xdr:from>
      <xdr:col>21</xdr:col>
      <xdr:colOff>83343</xdr:colOff>
      <xdr:row>0</xdr:row>
      <xdr:rowOff>130968</xdr:rowOff>
    </xdr:from>
    <xdr:to>
      <xdr:col>31</xdr:col>
      <xdr:colOff>369094</xdr:colOff>
      <xdr:row>24</xdr:row>
      <xdr:rowOff>158750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3F856A5-ACFB-49C1-BC91-6207A9FD81A1}"/>
                </a:ext>
              </a:extLst>
            </xdr:cNvPr>
            <xdr:cNvSpPr txBox="1"/>
          </xdr:nvSpPr>
          <xdr:spPr>
            <a:xfrm>
              <a:off x="14974093" y="130968"/>
              <a:ext cx="7429501" cy="459978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/>
                <a:t>b. If transportation costs and</a:t>
              </a:r>
              <a:r>
                <a:rPr lang="en-US" sz="1200" baseline="0"/>
                <a:t> operating costs are given weights that are double the weights of the others, should the locations be ranked differently?</a:t>
              </a:r>
            </a:p>
            <a:p>
              <a:r>
                <a:rPr lang="en-US" sz="1200" i="1"/>
                <a:t>Solution:</a:t>
              </a:r>
            </a:p>
            <a:p>
              <a:endParaRPr lang="en-US" sz="1200"/>
            </a:p>
            <a:p>
              <a:r>
                <a:rPr lang="en-US" sz="1200"/>
                <a:t>Let the weight of the other factors</a:t>
              </a:r>
              <a:r>
                <a:rPr lang="en-US" sz="1200" baseline="0"/>
                <a:t> be </a:t>
              </a:r>
              <a14:m>
                <m:oMath xmlns:m="http://schemas.openxmlformats.org/officeDocument/2006/math">
                  <m:r>
                    <a:rPr lang="en-US" sz="1200" b="0" i="1" baseline="0">
                      <a:latin typeface="Cambria Math" panose="02040503050406030204" pitchFamily="18" charset="0"/>
                    </a:rPr>
                    <m:t>𝑤</m:t>
                  </m:r>
                </m:oMath>
              </a14:m>
              <a:r>
                <a:rPr lang="en-US" sz="1200"/>
                <a:t>.</a:t>
              </a:r>
            </a:p>
            <a:p>
              <a:r>
                <a:rPr lang="en-US" sz="1200"/>
                <a:t>Weights:</a:t>
              </a:r>
            </a:p>
            <a:p>
              <a:r>
                <a:rPr lang="en-US" sz="1200"/>
                <a:t>1. Easy access:</a:t>
              </a:r>
              <a:r>
                <a:rPr lang="en-US" sz="1200" baseline="0"/>
                <a:t> w</a:t>
              </a:r>
            </a:p>
            <a:p>
              <a:r>
                <a:rPr lang="en-US" sz="1200" baseline="0"/>
                <a:t>2. Parking facilities: w</a:t>
              </a:r>
            </a:p>
            <a:p>
              <a:r>
                <a:rPr lang="en-US" sz="1200" baseline="0"/>
                <a:t>3. Display area: w</a:t>
              </a:r>
            </a:p>
            <a:p>
              <a:r>
                <a:rPr lang="en-US" sz="1200" baseline="0"/>
                <a:t>4. Shopper traffic: w</a:t>
              </a:r>
            </a:p>
            <a:p>
              <a:r>
                <a:rPr lang="en-US" sz="1200" baseline="0"/>
                <a:t>5. Transportation costs: 2w</a:t>
              </a:r>
            </a:p>
            <a:p>
              <a:r>
                <a:rPr lang="en-US" sz="1200" baseline="0"/>
                <a:t>6. Operating costs: 2w</a:t>
              </a:r>
            </a:p>
            <a:p>
              <a:endParaRPr lang="en-US" sz="1200"/>
            </a:p>
            <a:p>
              <a:r>
                <a:rPr lang="en-US" sz="1200"/>
                <a:t>The sum of all weights must be 1.</a:t>
              </a:r>
            </a:p>
            <a:p>
              <a:r>
                <a:rPr lang="en-US" sz="1200"/>
                <a:t>w+w+w+w+2w+2w=1</a:t>
              </a:r>
            </a:p>
            <a:p>
              <a:endParaRPr lang="en-US" sz="1200"/>
            </a:p>
            <a:p>
              <a:r>
                <a:rPr lang="en-US" sz="1200"/>
                <a:t>4w+4w=1</a:t>
              </a:r>
            </a:p>
            <a:p>
              <a:r>
                <a:rPr lang="en-US" sz="1200"/>
                <a:t>8w=1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b="0" i="1">
                        <a:latin typeface="Cambria Math" panose="02040503050406030204" pitchFamily="18" charset="0"/>
                      </a:rPr>
                      <m:t>𝑤</m:t>
                    </m:r>
                    <m:r>
                      <a:rPr lang="en-US" sz="12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2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sz="1200" b="0" i="1">
                            <a:latin typeface="Cambria Math" panose="02040503050406030204" pitchFamily="18" charset="0"/>
                          </a:rPr>
                          <m:t>8</m:t>
                        </m:r>
                      </m:den>
                    </m:f>
                    <m:r>
                      <a:rPr lang="en-US" sz="1200" b="0" i="1">
                        <a:latin typeface="Cambria Math" panose="02040503050406030204" pitchFamily="18" charset="0"/>
                      </a:rPr>
                      <m:t>=0.125</m:t>
                    </m:r>
                  </m:oMath>
                </m:oMathPara>
              </a14:m>
              <a:endParaRPr lang="en-US" sz="1200" b="0"/>
            </a:p>
            <a:p>
              <a:r>
                <a:rPr lang="en-US" sz="1200"/>
                <a:t>The</a:t>
              </a:r>
              <a:r>
                <a:rPr lang="en-US" sz="1200" baseline="0"/>
                <a:t> new weights are: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i="1" baseline="0">
                        <a:latin typeface="Cambria Math" panose="02040503050406030204" pitchFamily="18" charset="0"/>
                      </a:rPr>
                      <m:t>𝐹𝑜𝑢𝑟</m:t>
                    </m:r>
                    <m:r>
                      <a:rPr lang="en-US" sz="1200" i="1" baseline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200" i="1" baseline="0">
                        <a:latin typeface="Cambria Math" panose="02040503050406030204" pitchFamily="18" charset="0"/>
                      </a:rPr>
                      <m:t>𝑓𝑎𝑐𝑡𝑜𝑟𝑠</m:t>
                    </m:r>
                    <m:r>
                      <a:rPr lang="en-US" sz="1200" i="1" baseline="0">
                        <a:latin typeface="Cambria Math" panose="02040503050406030204" pitchFamily="18" charset="0"/>
                      </a:rPr>
                      <m:t> @ 0.125</m:t>
                    </m:r>
                  </m:oMath>
                </m:oMathPara>
              </a14:m>
              <a:endParaRPr lang="en-US" sz="1200" baseline="0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200" i="1" baseline="0">
                        <a:latin typeface="Cambria Math" panose="02040503050406030204" pitchFamily="18" charset="0"/>
                      </a:rPr>
                      <m:t>𝑇𝑤𝑜</m:t>
                    </m:r>
                    <m:r>
                      <a:rPr lang="en-US" sz="1200" i="1" baseline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200" i="1" baseline="0">
                        <a:latin typeface="Cambria Math" panose="02040503050406030204" pitchFamily="18" charset="0"/>
                      </a:rPr>
                      <m:t>𝑓𝑎𝑐𝑡𝑜𝑟𝑠</m:t>
                    </m:r>
                    <m:r>
                      <a:rPr lang="en-US" sz="1200" i="1" baseline="0">
                        <a:latin typeface="Cambria Math" panose="02040503050406030204" pitchFamily="18" charset="0"/>
                      </a:rPr>
                      <m:t> @ 2</m:t>
                    </m:r>
                    <m:r>
                      <a:rPr lang="en-US" sz="1200" i="1" baseline="0">
                        <a:latin typeface="Cambria Math" panose="02040503050406030204" pitchFamily="18" charset="0"/>
                      </a:rPr>
                      <m:t>𝑤</m:t>
                    </m:r>
                    <m:r>
                      <a:rPr lang="en-US" sz="1200" i="1" baseline="0">
                        <a:latin typeface="Cambria Math" panose="02040503050406030204" pitchFamily="18" charset="0"/>
                      </a:rPr>
                      <m:t>=0.25</m:t>
                    </m:r>
                  </m:oMath>
                </m:oMathPara>
              </a14:m>
              <a:endParaRPr lang="en-US" sz="12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3F856A5-ACFB-49C1-BC91-6207A9FD81A1}"/>
                </a:ext>
              </a:extLst>
            </xdr:cNvPr>
            <xdr:cNvSpPr txBox="1"/>
          </xdr:nvSpPr>
          <xdr:spPr>
            <a:xfrm>
              <a:off x="14974093" y="130968"/>
              <a:ext cx="7429501" cy="459978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/>
                <a:t>b. If transportation costs and</a:t>
              </a:r>
              <a:r>
                <a:rPr lang="en-US" sz="1200" baseline="0"/>
                <a:t> operating costs are given weights that are double the weights of the others, should the locations be ranked differently?</a:t>
              </a:r>
            </a:p>
            <a:p>
              <a:r>
                <a:rPr lang="en-US" sz="1200" i="1"/>
                <a:t>Solution:</a:t>
              </a:r>
            </a:p>
            <a:p>
              <a:endParaRPr lang="en-US" sz="1200"/>
            </a:p>
            <a:p>
              <a:r>
                <a:rPr lang="en-US" sz="1200"/>
                <a:t>Let the weight of the other factors</a:t>
              </a:r>
              <a:r>
                <a:rPr lang="en-US" sz="1200" baseline="0"/>
                <a:t> be </a:t>
              </a:r>
              <a:r>
                <a:rPr lang="en-US" sz="1200" b="0" i="0" baseline="0">
                  <a:latin typeface="Cambria Math" panose="02040503050406030204" pitchFamily="18" charset="0"/>
                </a:rPr>
                <a:t>𝑤</a:t>
              </a:r>
              <a:r>
                <a:rPr lang="en-US" sz="1200"/>
                <a:t>.</a:t>
              </a:r>
            </a:p>
            <a:p>
              <a:r>
                <a:rPr lang="en-US" sz="1200"/>
                <a:t>Weights:</a:t>
              </a:r>
            </a:p>
            <a:p>
              <a:r>
                <a:rPr lang="en-US" sz="1200"/>
                <a:t>1. Easy access:</a:t>
              </a:r>
              <a:r>
                <a:rPr lang="en-US" sz="1200" baseline="0"/>
                <a:t> w</a:t>
              </a:r>
            </a:p>
            <a:p>
              <a:r>
                <a:rPr lang="en-US" sz="1200" baseline="0"/>
                <a:t>2. Parking facilities: w</a:t>
              </a:r>
            </a:p>
            <a:p>
              <a:r>
                <a:rPr lang="en-US" sz="1200" baseline="0"/>
                <a:t>3. Display area: w</a:t>
              </a:r>
            </a:p>
            <a:p>
              <a:r>
                <a:rPr lang="en-US" sz="1200" baseline="0"/>
                <a:t>4. Shopper traffic: w</a:t>
              </a:r>
            </a:p>
            <a:p>
              <a:r>
                <a:rPr lang="en-US" sz="1200" baseline="0"/>
                <a:t>5. Transportation costs: 2w</a:t>
              </a:r>
            </a:p>
            <a:p>
              <a:r>
                <a:rPr lang="en-US" sz="1200" baseline="0"/>
                <a:t>6. Operating costs: 2w</a:t>
              </a:r>
            </a:p>
            <a:p>
              <a:endParaRPr lang="en-US" sz="1200"/>
            </a:p>
            <a:p>
              <a:r>
                <a:rPr lang="en-US" sz="1200"/>
                <a:t>The sum of all weights must be 1.</a:t>
              </a:r>
            </a:p>
            <a:p>
              <a:r>
                <a:rPr lang="en-US" sz="1200"/>
                <a:t>w+w+w+w+2w+2w=1</a:t>
              </a:r>
            </a:p>
            <a:p>
              <a:endParaRPr lang="en-US" sz="1200"/>
            </a:p>
            <a:p>
              <a:r>
                <a:rPr lang="en-US" sz="1200"/>
                <a:t>4w+4w=1</a:t>
              </a:r>
            </a:p>
            <a:p>
              <a:r>
                <a:rPr lang="en-US" sz="1200"/>
                <a:t>8w=1</a:t>
              </a:r>
            </a:p>
            <a:p>
              <a:r>
                <a:rPr lang="en-US" sz="1200" b="0" i="0">
                  <a:latin typeface="Cambria Math" panose="02040503050406030204" pitchFamily="18" charset="0"/>
                </a:rPr>
                <a:t>𝑤=1/8=0.125</a:t>
              </a:r>
              <a:endParaRPr lang="en-US" sz="1200" b="0"/>
            </a:p>
            <a:p>
              <a:r>
                <a:rPr lang="en-US" sz="1200"/>
                <a:t>The</a:t>
              </a:r>
              <a:r>
                <a:rPr lang="en-US" sz="1200" baseline="0"/>
                <a:t> new weights are:</a:t>
              </a:r>
            </a:p>
            <a:p>
              <a:r>
                <a:rPr lang="en-US" sz="1200" i="0" baseline="0">
                  <a:latin typeface="Cambria Math" panose="02040503050406030204" pitchFamily="18" charset="0"/>
                </a:rPr>
                <a:t>𝐹𝑜𝑢𝑟 𝑓𝑎𝑐𝑡𝑜𝑟𝑠 @ 0.125</a:t>
              </a:r>
              <a:endParaRPr lang="en-US" sz="1200" baseline="0"/>
            </a:p>
            <a:p>
              <a:r>
                <a:rPr lang="en-US" sz="1200" i="0" baseline="0">
                  <a:latin typeface="Cambria Math" panose="02040503050406030204" pitchFamily="18" charset="0"/>
                </a:rPr>
                <a:t>𝑇𝑤𝑜 𝑓𝑎𝑐𝑡𝑜𝑟𝑠 @ 2𝑤=0.25</a:t>
              </a:r>
              <a:endParaRPr lang="en-US" sz="1200"/>
            </a:p>
            <a:p>
              <a:endParaRPr lang="en-US" sz="1100"/>
            </a:p>
          </xdr:txBody>
        </xdr:sp>
      </mc:Fallback>
    </mc:AlternateContent>
    <xdr:clientData/>
  </xdr:twoCellAnchor>
  <xdr:twoCellAnchor>
    <xdr:from>
      <xdr:col>1</xdr:col>
      <xdr:colOff>95250</xdr:colOff>
      <xdr:row>22</xdr:row>
      <xdr:rowOff>95250</xdr:rowOff>
    </xdr:from>
    <xdr:to>
      <xdr:col>9</xdr:col>
      <xdr:colOff>539750</xdr:colOff>
      <xdr:row>35</xdr:row>
      <xdr:rowOff>127000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B211972-9B4B-4610-B154-727059E45798}"/>
            </a:ext>
          </a:extLst>
        </xdr:cNvPr>
        <xdr:cNvSpPr txBox="1"/>
      </xdr:nvSpPr>
      <xdr:spPr>
        <a:xfrm>
          <a:off x="698500" y="4286250"/>
          <a:ext cx="6381750" cy="2508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latin typeface="Times New Roman" panose="02020603050405020304" pitchFamily="18" charset="0"/>
              <a:cs typeface="Times New Roman" panose="02020603050405020304" pitchFamily="18" charset="0"/>
            </a:rPr>
            <a:t>By:</a:t>
          </a:r>
        </a:p>
        <a:p>
          <a:r>
            <a:rPr lang="en-US" sz="1100" i="1">
              <a:latin typeface="Times New Roman" panose="02020603050405020304" pitchFamily="18" charset="0"/>
              <a:cs typeface="Times New Roman" panose="02020603050405020304" pitchFamily="18" charset="0"/>
            </a:rPr>
            <a:t>BSIE Mohammad Abubakar</a:t>
          </a:r>
          <a:r>
            <a:rPr lang="en-US" sz="11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 Atiq</a:t>
          </a:r>
        </a:p>
        <a:p>
          <a:r>
            <a:rPr lang="en-US" sz="11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F2022031002 EF431 Industrial Facilities Design</a:t>
          </a:r>
        </a:p>
        <a:p>
          <a:r>
            <a:rPr lang="en-US" sz="11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To:</a:t>
          </a:r>
        </a:p>
        <a:p>
          <a:r>
            <a:rPr lang="en-US" sz="11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Sir Rehan Ashraf</a:t>
          </a:r>
        </a:p>
        <a:p>
          <a:endParaRPr lang="en-PK" sz="1100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32</xdr:col>
      <xdr:colOff>357188</xdr:colOff>
      <xdr:row>0</xdr:row>
      <xdr:rowOff>83344</xdr:rowOff>
    </xdr:from>
    <xdr:to>
      <xdr:col>42</xdr:col>
      <xdr:colOff>214313</xdr:colOff>
      <xdr:row>6</xdr:row>
      <xdr:rowOff>130969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42EFF48-EF0F-4483-BB9E-C0D0EB528184}"/>
                </a:ext>
              </a:extLst>
            </xdr:cNvPr>
            <xdr:cNvSpPr txBox="1"/>
          </xdr:nvSpPr>
          <xdr:spPr>
            <a:xfrm>
              <a:off x="23110032" y="83344"/>
              <a:ext cx="7036594" cy="11906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/>
                <a:t>c. If the manager weights the factors equally, how would</a:t>
              </a:r>
              <a:r>
                <a:rPr lang="en-US" sz="1200" baseline="0"/>
                <a:t> the locations be ranked?</a:t>
              </a:r>
            </a:p>
            <a:p>
              <a:r>
                <a:rPr lang="en-US" sz="1200" baseline="0"/>
                <a:t>If all 6 factors are weighted equally, each factor has a weight of </a:t>
              </a:r>
              <a14:m>
                <m:oMath xmlns:m="http://schemas.openxmlformats.org/officeDocument/2006/math">
                  <m:f>
                    <m:fPr>
                      <m:ctrlPr>
                        <a:rPr lang="en-US" sz="2000" b="0" i="1" baseline="0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2000" b="0" i="1" baseline="0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en-US" sz="2000" b="0" i="1" baseline="0">
                          <a:latin typeface="Cambria Math" panose="02040503050406030204" pitchFamily="18" charset="0"/>
                        </a:rPr>
                        <m:t>6</m:t>
                      </m:r>
                    </m:den>
                  </m:f>
                </m:oMath>
              </a14:m>
              <a:r>
                <a:rPr lang="en-US" sz="1200"/>
                <a:t>. To find</a:t>
              </a:r>
              <a:r>
                <a:rPr lang="en-US" sz="1200" baseline="0"/>
                <a:t> the ranking, we can sim,ply sum the raw scores for each location. The location with the highest total score will be ranked first.</a:t>
              </a:r>
              <a:endParaRPr lang="en-PK" sz="12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42EFF48-EF0F-4483-BB9E-C0D0EB528184}"/>
                </a:ext>
              </a:extLst>
            </xdr:cNvPr>
            <xdr:cNvSpPr txBox="1"/>
          </xdr:nvSpPr>
          <xdr:spPr>
            <a:xfrm>
              <a:off x="23110032" y="83344"/>
              <a:ext cx="7036594" cy="11906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200"/>
                <a:t>c. If the manager weights the factors equally, how would</a:t>
              </a:r>
              <a:r>
                <a:rPr lang="en-US" sz="1200" baseline="0"/>
                <a:t> the locations be ranked?</a:t>
              </a:r>
            </a:p>
            <a:p>
              <a:r>
                <a:rPr lang="en-US" sz="1200" baseline="0"/>
                <a:t>If all 6 factors are weighted equally, each factor has a weight of </a:t>
              </a:r>
              <a:r>
                <a:rPr lang="en-US" sz="2000" b="0" i="0" baseline="0">
                  <a:latin typeface="Cambria Math" panose="02040503050406030204" pitchFamily="18" charset="0"/>
                </a:rPr>
                <a:t>1/6</a:t>
              </a:r>
              <a:r>
                <a:rPr lang="en-US" sz="1200"/>
                <a:t>. To find</a:t>
              </a:r>
              <a:r>
                <a:rPr lang="en-US" sz="1200" baseline="0"/>
                <a:t> the ranking, we can sim,ply sum the raw scores for each location. The location with the highest total score will be ranked first.</a:t>
              </a:r>
              <a:endParaRPr lang="en-PK" sz="12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AO38"/>
  <sheetViews>
    <sheetView tabSelected="1" zoomScale="80" zoomScaleNormal="80" workbookViewId="0">
      <selection activeCell="AK25" sqref="AK25"/>
    </sheetView>
  </sheetViews>
  <sheetFormatPr defaultRowHeight="15" x14ac:dyDescent="0.25"/>
  <cols>
    <col min="6" max="6" width="25.7109375" bestFit="1" customWidth="1"/>
    <col min="13" max="13" width="25.7109375" bestFit="1" customWidth="1"/>
    <col min="23" max="23" width="25.7109375" bestFit="1" customWidth="1"/>
    <col min="34" max="34" width="25.7109375" bestFit="1" customWidth="1"/>
  </cols>
  <sheetData>
    <row r="6" spans="5:41" x14ac:dyDescent="0.25">
      <c r="O6" s="11" t="s">
        <v>2</v>
      </c>
      <c r="P6" s="11"/>
      <c r="Q6" s="11"/>
    </row>
    <row r="7" spans="5:41" x14ac:dyDescent="0.25">
      <c r="O7" s="12" t="s">
        <v>3</v>
      </c>
      <c r="P7" s="12"/>
      <c r="Q7" s="12"/>
      <c r="R7" s="11" t="s">
        <v>20</v>
      </c>
      <c r="S7" s="11"/>
      <c r="T7" s="11"/>
    </row>
    <row r="8" spans="5:41" x14ac:dyDescent="0.25">
      <c r="M8" s="1" t="s">
        <v>8</v>
      </c>
      <c r="N8" s="1" t="s">
        <v>7</v>
      </c>
      <c r="O8" s="1" t="s">
        <v>4</v>
      </c>
      <c r="P8" s="1" t="s">
        <v>5</v>
      </c>
      <c r="Q8" s="1" t="s">
        <v>6</v>
      </c>
      <c r="R8" s="8" t="s">
        <v>4</v>
      </c>
      <c r="S8" s="8" t="s">
        <v>5</v>
      </c>
      <c r="T8" s="8" t="s">
        <v>6</v>
      </c>
    </row>
    <row r="9" spans="5:41" x14ac:dyDescent="0.25">
      <c r="M9" s="1"/>
      <c r="N9" s="4" t="s">
        <v>16</v>
      </c>
      <c r="O9" s="4" t="s">
        <v>17</v>
      </c>
      <c r="P9" s="4" t="s">
        <v>18</v>
      </c>
      <c r="Q9" s="4" t="s">
        <v>19</v>
      </c>
      <c r="R9" s="4" t="s">
        <v>21</v>
      </c>
      <c r="S9" s="4" t="s">
        <v>22</v>
      </c>
      <c r="T9" s="4" t="s">
        <v>23</v>
      </c>
      <c r="AJ9" s="11" t="s">
        <v>2</v>
      </c>
      <c r="AK9" s="11"/>
      <c r="AL9" s="11"/>
    </row>
    <row r="10" spans="5:41" x14ac:dyDescent="0.25">
      <c r="E10" s="13" t="s">
        <v>0</v>
      </c>
      <c r="F10" s="13"/>
      <c r="G10" s="13"/>
      <c r="M10" s="1" t="s">
        <v>9</v>
      </c>
      <c r="N10" s="1">
        <v>0.15</v>
      </c>
      <c r="O10" s="7">
        <v>86</v>
      </c>
      <c r="P10" s="1">
        <v>72</v>
      </c>
      <c r="Q10" s="1">
        <v>90</v>
      </c>
      <c r="R10" s="1">
        <f>N10*O10</f>
        <v>12.9</v>
      </c>
      <c r="S10" s="1">
        <f>N10*P10</f>
        <v>10.799999999999999</v>
      </c>
      <c r="T10" s="1">
        <f>N10*Q10</f>
        <v>13.5</v>
      </c>
      <c r="AJ10" s="12" t="s">
        <v>3</v>
      </c>
      <c r="AK10" s="12"/>
      <c r="AL10" s="12"/>
      <c r="AM10" s="11" t="s">
        <v>20</v>
      </c>
      <c r="AN10" s="11"/>
      <c r="AO10" s="11"/>
    </row>
    <row r="11" spans="5:41" x14ac:dyDescent="0.25">
      <c r="E11" s="13" t="s">
        <v>1</v>
      </c>
      <c r="F11" s="13"/>
      <c r="G11" s="13"/>
      <c r="M11" s="1" t="s">
        <v>10</v>
      </c>
      <c r="N11" s="1">
        <v>0.2</v>
      </c>
      <c r="O11" s="7">
        <v>72</v>
      </c>
      <c r="P11" s="1">
        <v>77</v>
      </c>
      <c r="Q11" s="1">
        <v>91</v>
      </c>
      <c r="R11" s="1">
        <f t="shared" ref="R11:R15" si="0">N11*O11</f>
        <v>14.4</v>
      </c>
      <c r="S11" s="1">
        <f t="shared" ref="S11:S15" si="1">N11*P11</f>
        <v>15.4</v>
      </c>
      <c r="T11" s="1">
        <f t="shared" ref="T11:T15" si="2">N11*Q11</f>
        <v>18.2</v>
      </c>
      <c r="AH11" s="1" t="s">
        <v>8</v>
      </c>
      <c r="AI11" s="1" t="s">
        <v>7</v>
      </c>
      <c r="AJ11" s="1" t="s">
        <v>4</v>
      </c>
      <c r="AK11" s="1" t="s">
        <v>5</v>
      </c>
      <c r="AL11" s="1" t="s">
        <v>6</v>
      </c>
      <c r="AM11" s="8" t="s">
        <v>4</v>
      </c>
      <c r="AN11" s="8" t="s">
        <v>5</v>
      </c>
      <c r="AO11" s="8" t="s">
        <v>6</v>
      </c>
    </row>
    <row r="12" spans="5:41" x14ac:dyDescent="0.25">
      <c r="H12" s="11" t="s">
        <v>2</v>
      </c>
      <c r="I12" s="11"/>
      <c r="J12" s="11"/>
      <c r="M12" s="1" t="s">
        <v>11</v>
      </c>
      <c r="N12" s="1">
        <v>0.15</v>
      </c>
      <c r="O12" s="7">
        <v>86</v>
      </c>
      <c r="P12" s="1">
        <v>90</v>
      </c>
      <c r="Q12" s="1">
        <v>90</v>
      </c>
      <c r="R12" s="1">
        <f t="shared" si="0"/>
        <v>12.9</v>
      </c>
      <c r="S12" s="1">
        <f t="shared" si="1"/>
        <v>13.5</v>
      </c>
      <c r="T12" s="1">
        <f t="shared" si="2"/>
        <v>13.5</v>
      </c>
      <c r="AH12" s="1"/>
      <c r="AI12" s="4" t="s">
        <v>16</v>
      </c>
      <c r="AJ12" s="4" t="s">
        <v>17</v>
      </c>
      <c r="AK12" s="4" t="s">
        <v>18</v>
      </c>
      <c r="AL12" s="4" t="s">
        <v>19</v>
      </c>
      <c r="AM12" s="4" t="s">
        <v>21</v>
      </c>
      <c r="AN12" s="4" t="s">
        <v>22</v>
      </c>
      <c r="AO12" s="4" t="s">
        <v>23</v>
      </c>
    </row>
    <row r="13" spans="5:41" x14ac:dyDescent="0.25">
      <c r="H13" s="12" t="s">
        <v>3</v>
      </c>
      <c r="I13" s="12"/>
      <c r="J13" s="12"/>
      <c r="M13" s="1" t="s">
        <v>12</v>
      </c>
      <c r="N13" s="1">
        <v>0.1</v>
      </c>
      <c r="O13" s="7">
        <v>94</v>
      </c>
      <c r="P13" s="1">
        <v>86</v>
      </c>
      <c r="Q13" s="1">
        <v>80</v>
      </c>
      <c r="R13" s="1">
        <f t="shared" si="0"/>
        <v>9.4</v>
      </c>
      <c r="S13" s="1">
        <f t="shared" si="1"/>
        <v>8.6</v>
      </c>
      <c r="T13" s="1">
        <f t="shared" si="2"/>
        <v>8</v>
      </c>
      <c r="AH13" s="1" t="s">
        <v>9</v>
      </c>
      <c r="AI13" s="1">
        <f>1/6</f>
        <v>0.16666666666666666</v>
      </c>
      <c r="AJ13" s="7">
        <v>86</v>
      </c>
      <c r="AK13" s="1">
        <v>72</v>
      </c>
      <c r="AL13" s="1">
        <v>90</v>
      </c>
      <c r="AM13" s="1">
        <f>AI13*AJ13</f>
        <v>14.333333333333332</v>
      </c>
      <c r="AN13" s="1">
        <f>AI13*AK13</f>
        <v>12</v>
      </c>
      <c r="AO13" s="1">
        <f>AI13*AL13</f>
        <v>15</v>
      </c>
    </row>
    <row r="14" spans="5:41" x14ac:dyDescent="0.25">
      <c r="F14" s="1" t="s">
        <v>8</v>
      </c>
      <c r="G14" s="1" t="s">
        <v>7</v>
      </c>
      <c r="H14" s="1" t="s">
        <v>4</v>
      </c>
      <c r="I14" s="1" t="s">
        <v>5</v>
      </c>
      <c r="J14" s="1" t="s">
        <v>6</v>
      </c>
      <c r="M14" s="1" t="s">
        <v>13</v>
      </c>
      <c r="N14" s="1">
        <v>0.15</v>
      </c>
      <c r="O14" s="7">
        <v>99</v>
      </c>
      <c r="P14" s="1">
        <v>89</v>
      </c>
      <c r="Q14" s="1">
        <v>81</v>
      </c>
      <c r="R14" s="1">
        <f t="shared" si="0"/>
        <v>14.85</v>
      </c>
      <c r="S14" s="1">
        <f t="shared" si="1"/>
        <v>13.35</v>
      </c>
      <c r="T14" s="1">
        <f t="shared" si="2"/>
        <v>12.15</v>
      </c>
      <c r="AH14" s="1" t="s">
        <v>10</v>
      </c>
      <c r="AI14" s="1">
        <f t="shared" ref="AI14:AI18" si="3">1/6</f>
        <v>0.16666666666666666</v>
      </c>
      <c r="AJ14" s="7">
        <v>72</v>
      </c>
      <c r="AK14" s="1">
        <v>77</v>
      </c>
      <c r="AL14" s="1">
        <v>91</v>
      </c>
      <c r="AM14" s="1">
        <f t="shared" ref="AM14:AM18" si="4">AI14*AJ14</f>
        <v>12</v>
      </c>
      <c r="AN14" s="1">
        <f t="shared" ref="AN14:AN18" si="5">AI14*AK14</f>
        <v>12.833333333333332</v>
      </c>
      <c r="AO14" s="1">
        <f t="shared" ref="AO14:AO18" si="6">AI14*AL14</f>
        <v>15.166666666666666</v>
      </c>
    </row>
    <row r="15" spans="5:41" x14ac:dyDescent="0.25">
      <c r="F15" s="1" t="s">
        <v>9</v>
      </c>
      <c r="G15" s="1">
        <v>0.15</v>
      </c>
      <c r="H15" s="1">
        <v>86</v>
      </c>
      <c r="I15" s="1">
        <v>72</v>
      </c>
      <c r="J15" s="1">
        <v>90</v>
      </c>
      <c r="M15" s="1" t="s">
        <v>14</v>
      </c>
      <c r="N15" s="1">
        <v>0.25</v>
      </c>
      <c r="O15" s="7">
        <v>96</v>
      </c>
      <c r="P15" s="1">
        <v>85</v>
      </c>
      <c r="Q15" s="1">
        <v>75</v>
      </c>
      <c r="R15" s="1">
        <f t="shared" si="0"/>
        <v>24</v>
      </c>
      <c r="S15" s="1">
        <f t="shared" si="1"/>
        <v>21.25</v>
      </c>
      <c r="T15" s="1">
        <f t="shared" si="2"/>
        <v>18.75</v>
      </c>
      <c r="AH15" s="1" t="s">
        <v>11</v>
      </c>
      <c r="AI15" s="1">
        <f t="shared" si="3"/>
        <v>0.16666666666666666</v>
      </c>
      <c r="AJ15" s="7">
        <v>86</v>
      </c>
      <c r="AK15" s="1">
        <v>90</v>
      </c>
      <c r="AL15" s="1">
        <v>90</v>
      </c>
      <c r="AM15" s="1">
        <f t="shared" si="4"/>
        <v>14.333333333333332</v>
      </c>
      <c r="AN15" s="1">
        <f t="shared" si="5"/>
        <v>15</v>
      </c>
      <c r="AO15" s="1">
        <f t="shared" si="6"/>
        <v>15</v>
      </c>
    </row>
    <row r="16" spans="5:41" x14ac:dyDescent="0.25">
      <c r="F16" s="1" t="s">
        <v>10</v>
      </c>
      <c r="G16" s="1">
        <v>0.2</v>
      </c>
      <c r="H16" s="1">
        <v>72</v>
      </c>
      <c r="I16" s="1">
        <v>77</v>
      </c>
      <c r="J16" s="1">
        <v>91</v>
      </c>
      <c r="M16" s="2" t="s">
        <v>15</v>
      </c>
      <c r="N16" s="5">
        <f>SUM(N10:N15)</f>
        <v>1</v>
      </c>
      <c r="O16" s="10" t="s">
        <v>24</v>
      </c>
      <c r="P16" s="10"/>
      <c r="Q16" s="10"/>
      <c r="R16" s="6">
        <f>SUM(R10:R15)</f>
        <v>88.45</v>
      </c>
      <c r="S16" s="6">
        <f>SUM(S10:S15)</f>
        <v>82.9</v>
      </c>
      <c r="T16" s="6">
        <f>SUM(T10:T15)</f>
        <v>84.100000000000009</v>
      </c>
      <c r="AH16" s="1" t="s">
        <v>12</v>
      </c>
      <c r="AI16" s="1">
        <f t="shared" si="3"/>
        <v>0.16666666666666666</v>
      </c>
      <c r="AJ16" s="7">
        <v>94</v>
      </c>
      <c r="AK16" s="1">
        <v>86</v>
      </c>
      <c r="AL16" s="1">
        <v>80</v>
      </c>
      <c r="AM16" s="1">
        <f t="shared" si="4"/>
        <v>15.666666666666666</v>
      </c>
      <c r="AN16" s="1">
        <f t="shared" si="5"/>
        <v>14.333333333333332</v>
      </c>
      <c r="AO16" s="1">
        <f t="shared" si="6"/>
        <v>13.333333333333332</v>
      </c>
    </row>
    <row r="17" spans="6:41" x14ac:dyDescent="0.25">
      <c r="F17" s="1" t="s">
        <v>11</v>
      </c>
      <c r="G17" s="1">
        <v>0.15</v>
      </c>
      <c r="H17" s="1">
        <v>86</v>
      </c>
      <c r="I17" s="1">
        <v>90</v>
      </c>
      <c r="J17" s="1">
        <v>90</v>
      </c>
      <c r="AH17" s="1" t="s">
        <v>13</v>
      </c>
      <c r="AI17" s="1">
        <f t="shared" si="3"/>
        <v>0.16666666666666666</v>
      </c>
      <c r="AJ17" s="7">
        <v>99</v>
      </c>
      <c r="AK17" s="1">
        <v>89</v>
      </c>
      <c r="AL17" s="1">
        <v>81</v>
      </c>
      <c r="AM17" s="1">
        <f t="shared" si="4"/>
        <v>16.5</v>
      </c>
      <c r="AN17" s="1">
        <f t="shared" si="5"/>
        <v>14.833333333333332</v>
      </c>
      <c r="AO17" s="1">
        <f t="shared" si="6"/>
        <v>13.5</v>
      </c>
    </row>
    <row r="18" spans="6:41" x14ac:dyDescent="0.25">
      <c r="F18" s="1" t="s">
        <v>12</v>
      </c>
      <c r="G18" s="1">
        <v>0.1</v>
      </c>
      <c r="H18" s="1">
        <v>94</v>
      </c>
      <c r="I18" s="1">
        <v>86</v>
      </c>
      <c r="J18" s="1">
        <v>80</v>
      </c>
      <c r="M18" s="9" t="s">
        <v>25</v>
      </c>
      <c r="N18">
        <f>MAX(R16:T16)</f>
        <v>88.45</v>
      </c>
      <c r="AH18" s="1" t="s">
        <v>14</v>
      </c>
      <c r="AI18" s="1">
        <f t="shared" si="3"/>
        <v>0.16666666666666666</v>
      </c>
      <c r="AJ18" s="7">
        <v>96</v>
      </c>
      <c r="AK18" s="1">
        <v>85</v>
      </c>
      <c r="AL18" s="1">
        <v>75</v>
      </c>
      <c r="AM18" s="1">
        <f t="shared" si="4"/>
        <v>16</v>
      </c>
      <c r="AN18" s="1">
        <f t="shared" si="5"/>
        <v>14.166666666666666</v>
      </c>
      <c r="AO18" s="1">
        <f t="shared" si="6"/>
        <v>12.5</v>
      </c>
    </row>
    <row r="19" spans="6:41" x14ac:dyDescent="0.25">
      <c r="F19" s="1" t="s">
        <v>13</v>
      </c>
      <c r="G19" s="1">
        <v>0.15</v>
      </c>
      <c r="H19" s="1">
        <v>99</v>
      </c>
      <c r="I19" s="1">
        <v>89</v>
      </c>
      <c r="J19" s="1">
        <v>81</v>
      </c>
      <c r="AH19" s="2" t="s">
        <v>15</v>
      </c>
      <c r="AI19" s="5">
        <f>SUM(AI13:AI18)</f>
        <v>0.99999999999999989</v>
      </c>
      <c r="AJ19" s="10" t="s">
        <v>24</v>
      </c>
      <c r="AK19" s="10"/>
      <c r="AL19" s="10"/>
      <c r="AM19" s="6">
        <f>SUM(AM13:AM18)</f>
        <v>88.833333333333329</v>
      </c>
      <c r="AN19" s="6">
        <f>SUM(AN13:AN18)</f>
        <v>83.166666666666657</v>
      </c>
      <c r="AO19" s="6">
        <f>SUM(AO13:AO18)</f>
        <v>84.5</v>
      </c>
    </row>
    <row r="20" spans="6:41" x14ac:dyDescent="0.25">
      <c r="F20" s="1" t="s">
        <v>14</v>
      </c>
      <c r="G20" s="1">
        <v>0.25</v>
      </c>
      <c r="H20" s="1">
        <v>96</v>
      </c>
      <c r="I20" s="1">
        <v>85</v>
      </c>
      <c r="J20" s="1">
        <v>75</v>
      </c>
    </row>
    <row r="21" spans="6:41" x14ac:dyDescent="0.25">
      <c r="F21" s="2" t="s">
        <v>15</v>
      </c>
      <c r="G21" s="3">
        <f>SUM(G15:G20)</f>
        <v>1</v>
      </c>
      <c r="AH21" s="9" t="s">
        <v>25</v>
      </c>
      <c r="AI21">
        <f>MAX(AM19:AO19)</f>
        <v>88.833333333333329</v>
      </c>
    </row>
    <row r="26" spans="6:41" x14ac:dyDescent="0.25">
      <c r="Y26" s="11" t="s">
        <v>2</v>
      </c>
      <c r="Z26" s="11"/>
      <c r="AA26" s="11"/>
    </row>
    <row r="27" spans="6:41" x14ac:dyDescent="0.25">
      <c r="Y27" s="12" t="s">
        <v>3</v>
      </c>
      <c r="Z27" s="12"/>
      <c r="AA27" s="12"/>
      <c r="AB27" s="11" t="s">
        <v>20</v>
      </c>
      <c r="AC27" s="11"/>
      <c r="AD27" s="11"/>
    </row>
    <row r="28" spans="6:41" x14ac:dyDescent="0.25">
      <c r="W28" s="1" t="s">
        <v>8</v>
      </c>
      <c r="X28" s="1" t="s">
        <v>7</v>
      </c>
      <c r="Y28" s="1" t="s">
        <v>4</v>
      </c>
      <c r="Z28" s="1" t="s">
        <v>5</v>
      </c>
      <c r="AA28" s="1" t="s">
        <v>6</v>
      </c>
      <c r="AB28" s="8" t="s">
        <v>4</v>
      </c>
      <c r="AC28" s="8" t="s">
        <v>5</v>
      </c>
      <c r="AD28" s="8" t="s">
        <v>6</v>
      </c>
    </row>
    <row r="29" spans="6:41" x14ac:dyDescent="0.25">
      <c r="W29" s="1"/>
      <c r="X29" s="4" t="s">
        <v>16</v>
      </c>
      <c r="Y29" s="4" t="s">
        <v>17</v>
      </c>
      <c r="Z29" s="4" t="s">
        <v>18</v>
      </c>
      <c r="AA29" s="4" t="s">
        <v>19</v>
      </c>
      <c r="AB29" s="4" t="s">
        <v>21</v>
      </c>
      <c r="AC29" s="4" t="s">
        <v>22</v>
      </c>
      <c r="AD29" s="4" t="s">
        <v>23</v>
      </c>
    </row>
    <row r="30" spans="6:41" x14ac:dyDescent="0.25">
      <c r="W30" s="1" t="s">
        <v>9</v>
      </c>
      <c r="X30" s="1">
        <v>0.125</v>
      </c>
      <c r="Y30" s="7">
        <v>86</v>
      </c>
      <c r="Z30" s="1">
        <v>72</v>
      </c>
      <c r="AA30" s="1">
        <v>90</v>
      </c>
      <c r="AB30" s="1">
        <f>X30*Y30</f>
        <v>10.75</v>
      </c>
      <c r="AC30" s="1">
        <f>X30*Z30</f>
        <v>9</v>
      </c>
      <c r="AD30" s="1">
        <f>X30*AA30</f>
        <v>11.25</v>
      </c>
    </row>
    <row r="31" spans="6:41" x14ac:dyDescent="0.25">
      <c r="W31" s="1" t="s">
        <v>10</v>
      </c>
      <c r="X31" s="1">
        <v>0.125</v>
      </c>
      <c r="Y31" s="7">
        <v>72</v>
      </c>
      <c r="Z31" s="1">
        <v>77</v>
      </c>
      <c r="AA31" s="1">
        <v>91</v>
      </c>
      <c r="AB31" s="1">
        <f t="shared" ref="AB31:AB35" si="7">X31*Y31</f>
        <v>9</v>
      </c>
      <c r="AC31" s="1">
        <f t="shared" ref="AC31:AC35" si="8">X31*Z31</f>
        <v>9.625</v>
      </c>
      <c r="AD31" s="1">
        <f t="shared" ref="AD31:AD35" si="9">X31*AA31</f>
        <v>11.375</v>
      </c>
    </row>
    <row r="32" spans="6:41" x14ac:dyDescent="0.25">
      <c r="W32" s="1" t="s">
        <v>11</v>
      </c>
      <c r="X32" s="1">
        <v>0.125</v>
      </c>
      <c r="Y32" s="7">
        <v>86</v>
      </c>
      <c r="Z32" s="1">
        <v>90</v>
      </c>
      <c r="AA32" s="1">
        <v>90</v>
      </c>
      <c r="AB32" s="1">
        <f t="shared" si="7"/>
        <v>10.75</v>
      </c>
      <c r="AC32" s="1">
        <f t="shared" si="8"/>
        <v>11.25</v>
      </c>
      <c r="AD32" s="1">
        <f t="shared" si="9"/>
        <v>11.25</v>
      </c>
    </row>
    <row r="33" spans="23:30" x14ac:dyDescent="0.25">
      <c r="W33" s="1" t="s">
        <v>12</v>
      </c>
      <c r="X33" s="1">
        <v>0.125</v>
      </c>
      <c r="Y33" s="7">
        <v>94</v>
      </c>
      <c r="Z33" s="1">
        <v>86</v>
      </c>
      <c r="AA33" s="1">
        <v>80</v>
      </c>
      <c r="AB33" s="1">
        <f t="shared" si="7"/>
        <v>11.75</v>
      </c>
      <c r="AC33" s="1">
        <f t="shared" si="8"/>
        <v>10.75</v>
      </c>
      <c r="AD33" s="1">
        <f t="shared" si="9"/>
        <v>10</v>
      </c>
    </row>
    <row r="34" spans="23:30" x14ac:dyDescent="0.25">
      <c r="W34" s="1" t="s">
        <v>13</v>
      </c>
      <c r="X34" s="1">
        <v>0.25</v>
      </c>
      <c r="Y34" s="7">
        <v>99</v>
      </c>
      <c r="Z34" s="1">
        <v>89</v>
      </c>
      <c r="AA34" s="1">
        <v>81</v>
      </c>
      <c r="AB34" s="1">
        <f t="shared" si="7"/>
        <v>24.75</v>
      </c>
      <c r="AC34" s="1">
        <f t="shared" si="8"/>
        <v>22.25</v>
      </c>
      <c r="AD34" s="1">
        <f t="shared" si="9"/>
        <v>20.25</v>
      </c>
    </row>
    <row r="35" spans="23:30" x14ac:dyDescent="0.25">
      <c r="W35" s="1" t="s">
        <v>14</v>
      </c>
      <c r="X35" s="1">
        <v>0.25</v>
      </c>
      <c r="Y35" s="7">
        <v>96</v>
      </c>
      <c r="Z35" s="1">
        <v>85</v>
      </c>
      <c r="AA35" s="1">
        <v>75</v>
      </c>
      <c r="AB35" s="1">
        <f t="shared" si="7"/>
        <v>24</v>
      </c>
      <c r="AC35" s="1">
        <f t="shared" si="8"/>
        <v>21.25</v>
      </c>
      <c r="AD35" s="1">
        <f t="shared" si="9"/>
        <v>18.75</v>
      </c>
    </row>
    <row r="36" spans="23:30" x14ac:dyDescent="0.25">
      <c r="W36" s="2" t="s">
        <v>15</v>
      </c>
      <c r="X36" s="5">
        <f>SUM(X30:X35)</f>
        <v>1</v>
      </c>
      <c r="Y36" s="10" t="s">
        <v>24</v>
      </c>
      <c r="Z36" s="10"/>
      <c r="AA36" s="10"/>
      <c r="AB36" s="6">
        <f>SUM(AB30:AB35)</f>
        <v>91</v>
      </c>
      <c r="AC36" s="6">
        <f>SUM(AC30:AC35)</f>
        <v>84.125</v>
      </c>
      <c r="AD36" s="6">
        <f>SUM(AD30:AD35)</f>
        <v>82.875</v>
      </c>
    </row>
    <row r="38" spans="23:30" x14ac:dyDescent="0.25">
      <c r="W38" s="9" t="s">
        <v>25</v>
      </c>
      <c r="X38">
        <f>MAX(AB36:AD36)</f>
        <v>91</v>
      </c>
    </row>
  </sheetData>
  <mergeCells count="16">
    <mergeCell ref="E10:G10"/>
    <mergeCell ref="E11:G11"/>
    <mergeCell ref="H12:J12"/>
    <mergeCell ref="H13:J13"/>
    <mergeCell ref="O6:Q6"/>
    <mergeCell ref="O7:Q7"/>
    <mergeCell ref="R7:T7"/>
    <mergeCell ref="O16:Q16"/>
    <mergeCell ref="Y26:AA26"/>
    <mergeCell ref="Y27:AA27"/>
    <mergeCell ref="AB27:AD27"/>
    <mergeCell ref="Y36:AA36"/>
    <mergeCell ref="AJ9:AL9"/>
    <mergeCell ref="AJ10:AL10"/>
    <mergeCell ref="AM10:AO10"/>
    <mergeCell ref="AJ19:AL19"/>
  </mergeCells>
  <pageMargins left="0.7" right="0.7" top="0.75" bottom="0.75" header="0.3" footer="0.3"/>
  <pageSetup scale="77" orientation="portrait" r:id="rId1"/>
  <colBreaks count="2" manualBreakCount="2">
    <brk id="11" max="20" man="1"/>
    <brk id="21" max="3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Lab_01_Task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ABUBAKAR ATIQ</dc:creator>
  <cp:lastModifiedBy>Lenovo</cp:lastModifiedBy>
  <cp:lastPrinted>2025-10-21T06:34:20Z</cp:lastPrinted>
  <dcterms:created xsi:type="dcterms:W3CDTF">2025-10-21T06:05:29Z</dcterms:created>
  <dcterms:modified xsi:type="dcterms:W3CDTF">2025-10-23T07:20:02Z</dcterms:modified>
</cp:coreProperties>
</file>