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7_01_EF431_Industrial Facilities Design\Lab_EF431_Industrial_Facilities_Design\"/>
    </mc:Choice>
  </mc:AlternateContent>
  <bookViews>
    <workbookView xWindow="0" yWindow="0" windowWidth="28800" windowHeight="12000" activeTab="1"/>
  </bookViews>
  <sheets>
    <sheet name="Sheet1" sheetId="1" r:id="rId1"/>
    <sheet name="LAB_01 (task 2)" sheetId="3" r:id="rId2"/>
    <sheet name="LAB_01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3" l="1"/>
  <c r="J17" i="3"/>
  <c r="J11" i="3"/>
  <c r="H25" i="3" l="1"/>
  <c r="H26" i="3"/>
  <c r="H24" i="3"/>
  <c r="C23" i="3"/>
  <c r="D23" i="3"/>
  <c r="E23" i="3"/>
  <c r="F23" i="3"/>
  <c r="G23" i="3"/>
  <c r="B23" i="3"/>
  <c r="H19" i="3"/>
  <c r="F17" i="3"/>
  <c r="H20" i="3"/>
  <c r="H18" i="3"/>
  <c r="H12" i="3"/>
  <c r="H14" i="3"/>
  <c r="H13" i="3"/>
  <c r="J13" i="2"/>
  <c r="J14" i="2"/>
  <c r="J15" i="2"/>
  <c r="J16" i="2"/>
  <c r="J17" i="2"/>
  <c r="J12" i="2"/>
  <c r="E19" i="1"/>
  <c r="D19" i="1"/>
  <c r="F16" i="1"/>
  <c r="F17" i="1"/>
  <c r="F18" i="1"/>
  <c r="F15" i="1"/>
  <c r="F19" i="1" l="1"/>
  <c r="I15" i="1" s="1"/>
  <c r="I16" i="1" l="1"/>
</calcChain>
</file>

<file path=xl/sharedStrings.xml><?xml version="1.0" encoding="utf-8"?>
<sst xmlns="http://schemas.openxmlformats.org/spreadsheetml/2006/main" count="60" uniqueCount="34">
  <si>
    <t>n</t>
  </si>
  <si>
    <t>x</t>
  </si>
  <si>
    <t>y</t>
  </si>
  <si>
    <t>volume</t>
  </si>
  <si>
    <t>Sum</t>
  </si>
  <si>
    <t>x-coordinate</t>
  </si>
  <si>
    <t>y-coordinate</t>
  </si>
  <si>
    <t>Location</t>
  </si>
  <si>
    <t>Utility</t>
  </si>
  <si>
    <t>Hospital</t>
  </si>
  <si>
    <t>Office</t>
  </si>
  <si>
    <t>Fractions (sum 1)</t>
  </si>
  <si>
    <t>A (DHA 4)</t>
  </si>
  <si>
    <t>B (FHS)</t>
  </si>
  <si>
    <t>C ( Ask 1)</t>
  </si>
  <si>
    <t>D (DHA 11)</t>
  </si>
  <si>
    <t>E (PCSIR)</t>
  </si>
  <si>
    <t>F (ST)</t>
  </si>
  <si>
    <t>Sec</t>
  </si>
  <si>
    <t>Envir</t>
  </si>
  <si>
    <t>Pricing (V &amp; F)</t>
  </si>
  <si>
    <t xml:space="preserve"> School</t>
  </si>
  <si>
    <t>A &amp; R</t>
  </si>
  <si>
    <t>Weightaged Fraction</t>
  </si>
  <si>
    <t>Factor</t>
  </si>
  <si>
    <t>Easy Access</t>
  </si>
  <si>
    <t>Parking facilities</t>
  </si>
  <si>
    <t>Display area</t>
  </si>
  <si>
    <t>Shopper (walking) Traffic</t>
  </si>
  <si>
    <t>Transportation costs</t>
  </si>
  <si>
    <t>Operating Costs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</si>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</sst>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5</xdr:row>
      <xdr:rowOff>123825</xdr:rowOff>
    </xdr:from>
    <xdr:to>
      <xdr:col>8</xdr:col>
      <xdr:colOff>552450</xdr:colOff>
      <xdr:row>12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41C351-CEE3-46E6-9174-7A055FBBBC26}"/>
            </a:ext>
          </a:extLst>
        </xdr:cNvPr>
        <xdr:cNvSpPr txBox="1"/>
      </xdr:nvSpPr>
      <xdr:spPr>
        <a:xfrm>
          <a:off x="1190625" y="1076325"/>
          <a:ext cx="4448175" cy="12287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(LAB)</a:t>
          </a:r>
        </a:p>
        <a:p>
          <a:pPr algn="ctr"/>
          <a:endParaRPr lang="en-US" sz="20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2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EF431 Industrial Facilities Design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7</xdr:col>
      <xdr:colOff>800100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69AD47-F678-46B7-9E3A-111C6100E577}"/>
            </a:ext>
          </a:extLst>
        </xdr:cNvPr>
        <xdr:cNvSpPr txBox="1"/>
      </xdr:nvSpPr>
      <xdr:spPr>
        <a:xfrm>
          <a:off x="9525" y="0"/>
          <a:ext cx="8229600" cy="1676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(LAB</a:t>
          </a:r>
          <a:r>
            <a:rPr lang="en-US" sz="26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01</a:t>
          </a:r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  <a:p>
          <a:pPr algn="ctr"/>
          <a:r>
            <a:rPr lang="en-US" sz="2600" b="0" i="1">
              <a:solidFill>
                <a:sysClr val="windowText" lastClr="000000"/>
              </a:solidFill>
              <a:latin typeface="Bradley Hand ITC" panose="03070402050302030203" pitchFamily="66" charset="0"/>
              <a:cs typeface="Times New Roman" panose="02020603050405020304" pitchFamily="18" charset="0"/>
            </a:rPr>
            <a:t>(</a:t>
          </a:r>
          <a:r>
            <a:rPr lang="en-US" sz="2600" b="0" i="1">
              <a:solidFill>
                <a:srgbClr val="FF0000"/>
              </a:solidFill>
              <a:latin typeface="Bradley Hand ITC" panose="03070402050302030203" pitchFamily="66" charset="0"/>
              <a:cs typeface="Times New Roman" panose="02020603050405020304" pitchFamily="18" charset="0"/>
            </a:rPr>
            <a:t>Mohammad Abubakar Atiq - F2022031002)</a:t>
          </a:r>
        </a:p>
        <a:p>
          <a:pPr algn="ctr"/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EF431 Industrial Facilities Design</a:t>
          </a:r>
        </a:p>
        <a:p>
          <a:pPr algn="ctr"/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Task 02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9</xdr:col>
      <xdr:colOff>800100</xdr:colOff>
      <xdr:row>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66F0FF-761A-45B6-9CF6-5DCF8BE5B843}"/>
            </a:ext>
          </a:extLst>
        </xdr:cNvPr>
        <xdr:cNvSpPr txBox="1"/>
      </xdr:nvSpPr>
      <xdr:spPr>
        <a:xfrm>
          <a:off x="9525" y="0"/>
          <a:ext cx="7934325" cy="1676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(LAB</a:t>
          </a:r>
          <a:r>
            <a:rPr lang="en-US" sz="26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01</a:t>
          </a:r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  <a:p>
          <a:pPr algn="ctr"/>
          <a:r>
            <a:rPr lang="en-US" sz="2600" b="0" i="1">
              <a:solidFill>
                <a:sysClr val="windowText" lastClr="000000"/>
              </a:solidFill>
              <a:latin typeface="Bradley Hand ITC" panose="03070402050302030203" pitchFamily="66" charset="0"/>
              <a:cs typeface="Times New Roman" panose="02020603050405020304" pitchFamily="18" charset="0"/>
            </a:rPr>
            <a:t>(</a:t>
          </a:r>
          <a:r>
            <a:rPr lang="en-US" sz="2600" b="0" i="1">
              <a:solidFill>
                <a:srgbClr val="FF0000"/>
              </a:solidFill>
              <a:latin typeface="Bradley Hand ITC" panose="03070402050302030203" pitchFamily="66" charset="0"/>
              <a:cs typeface="Times New Roman" panose="02020603050405020304" pitchFamily="18" charset="0"/>
            </a:rPr>
            <a:t>Mohammad Abubakar Atiq - F2022031002)</a:t>
          </a:r>
        </a:p>
        <a:p>
          <a:pPr algn="ctr"/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EF431 Industrial Facilities Design</a:t>
          </a:r>
        </a:p>
        <a:p>
          <a:pPr algn="ctr"/>
          <a:r>
            <a:rPr lang="en-US" sz="26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Task 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I19"/>
  <sheetViews>
    <sheetView workbookViewId="0">
      <selection activeCell="L11" sqref="L11"/>
    </sheetView>
  </sheetViews>
  <sheetFormatPr defaultRowHeight="15" x14ac:dyDescent="0.25"/>
  <cols>
    <col min="8" max="8" width="12.28515625" bestFit="1" customWidth="1"/>
  </cols>
  <sheetData>
    <row r="14" spans="3:9" x14ac:dyDescent="0.25">
      <c r="C14" s="1" t="s">
        <v>0</v>
      </c>
      <c r="D14" s="1" t="s">
        <v>1</v>
      </c>
      <c r="E14" s="1" t="s">
        <v>2</v>
      </c>
      <c r="F14" s="1" t="s">
        <v>3</v>
      </c>
    </row>
    <row r="15" spans="3:9" x14ac:dyDescent="0.25">
      <c r="C15" s="1">
        <v>1</v>
      </c>
      <c r="D15" s="1">
        <v>30</v>
      </c>
      <c r="E15" s="1">
        <v>120</v>
      </c>
      <c r="F15" s="1">
        <f>D15*E15</f>
        <v>3600</v>
      </c>
      <c r="H15" s="1" t="s">
        <v>5</v>
      </c>
      <c r="I15" s="1">
        <f>((D15*F15)+(D16*F16)+(D17*F17)+(D18*F18))/F19</f>
        <v>101.82926829268293</v>
      </c>
    </row>
    <row r="16" spans="3:9" x14ac:dyDescent="0.25">
      <c r="C16" s="1">
        <v>2</v>
      </c>
      <c r="D16" s="1">
        <v>60</v>
      </c>
      <c r="E16" s="1">
        <v>40</v>
      </c>
      <c r="F16" s="1">
        <f t="shared" ref="F16:F18" si="0">D16*E16</f>
        <v>2400</v>
      </c>
      <c r="H16" s="1" t="s">
        <v>6</v>
      </c>
      <c r="I16" s="1">
        <f>((E15*F15)+(E16*F16)+(E17*F17)+(E18*F18))/F19</f>
        <v>116.28048780487805</v>
      </c>
    </row>
    <row r="17" spans="3:6" x14ac:dyDescent="0.25">
      <c r="C17" s="1">
        <v>3</v>
      </c>
      <c r="D17" s="1">
        <v>90</v>
      </c>
      <c r="E17" s="1">
        <v>110</v>
      </c>
      <c r="F17" s="1">
        <f t="shared" si="0"/>
        <v>9900</v>
      </c>
    </row>
    <row r="18" spans="3:6" x14ac:dyDescent="0.25">
      <c r="C18" s="1">
        <v>4</v>
      </c>
      <c r="D18" s="1">
        <v>130</v>
      </c>
      <c r="E18" s="1">
        <v>130</v>
      </c>
      <c r="F18" s="1">
        <f t="shared" si="0"/>
        <v>16900</v>
      </c>
    </row>
    <row r="19" spans="3:6" x14ac:dyDescent="0.25">
      <c r="C19" s="1" t="s">
        <v>4</v>
      </c>
      <c r="D19" s="1">
        <f>SUM(D15:D18)</f>
        <v>310</v>
      </c>
      <c r="E19" s="1">
        <f>SUM(E15:E18)</f>
        <v>400</v>
      </c>
      <c r="F19" s="1">
        <f t="shared" ref="F19" si="1">SUM(F15:F18)</f>
        <v>32800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J26"/>
  <sheetViews>
    <sheetView tabSelected="1" workbookViewId="0">
      <selection activeCell="G18" sqref="G18"/>
    </sheetView>
  </sheetViews>
  <sheetFormatPr defaultRowHeight="15" x14ac:dyDescent="0.25"/>
  <cols>
    <col min="1" max="1" width="21.42578125" bestFit="1" customWidth="1"/>
    <col min="4" max="4" width="12.42578125" bestFit="1" customWidth="1"/>
    <col min="5" max="5" width="16" bestFit="1" customWidth="1"/>
    <col min="6" max="6" width="16" customWidth="1"/>
    <col min="7" max="7" width="13.140625" customWidth="1"/>
    <col min="8" max="8" width="12.28515625" customWidth="1"/>
  </cols>
  <sheetData>
    <row r="10" spans="1:10" s="2" customFormat="1" ht="30" x14ac:dyDescent="0.2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23</v>
      </c>
    </row>
    <row r="11" spans="1:10" x14ac:dyDescent="0.25">
      <c r="A11" s="1" t="s">
        <v>7</v>
      </c>
      <c r="B11" s="1">
        <v>0.15</v>
      </c>
      <c r="C11" s="1">
        <v>0.2</v>
      </c>
      <c r="D11" s="1">
        <v>0.15</v>
      </c>
      <c r="E11" s="1">
        <v>0.1</v>
      </c>
      <c r="F11" s="1">
        <v>0.15</v>
      </c>
      <c r="G11" s="1">
        <v>0.25</v>
      </c>
      <c r="H11" s="1"/>
      <c r="J11">
        <f>SUM(B11:G11)</f>
        <v>1</v>
      </c>
    </row>
    <row r="12" spans="1:10" x14ac:dyDescent="0.25">
      <c r="A12" s="1" t="s">
        <v>31</v>
      </c>
      <c r="B12" s="1">
        <v>86</v>
      </c>
      <c r="C12" s="1">
        <v>72</v>
      </c>
      <c r="D12" s="1">
        <v>86</v>
      </c>
      <c r="E12" s="1">
        <v>94</v>
      </c>
      <c r="F12" s="1">
        <v>99</v>
      </c>
      <c r="G12" s="1">
        <v>96</v>
      </c>
      <c r="H12" s="7">
        <f>SUMPRODUCT($B$11:$G$11,B12:G12)</f>
        <v>88.45</v>
      </c>
    </row>
    <row r="13" spans="1:10" x14ac:dyDescent="0.25">
      <c r="A13" s="1" t="s">
        <v>32</v>
      </c>
      <c r="B13" s="1">
        <v>72</v>
      </c>
      <c r="C13" s="1">
        <v>77</v>
      </c>
      <c r="D13" s="1">
        <v>90</v>
      </c>
      <c r="E13" s="1">
        <v>86</v>
      </c>
      <c r="F13" s="1">
        <v>89</v>
      </c>
      <c r="G13" s="1">
        <v>85</v>
      </c>
      <c r="H13" s="7">
        <f>SUMPRODUCT($B$11:$G$11,B13:G13)</f>
        <v>82.9</v>
      </c>
    </row>
    <row r="14" spans="1:10" x14ac:dyDescent="0.25">
      <c r="A14" s="1" t="s">
        <v>33</v>
      </c>
      <c r="B14" s="1">
        <v>90</v>
      </c>
      <c r="C14" s="1">
        <v>91</v>
      </c>
      <c r="D14" s="1">
        <v>90</v>
      </c>
      <c r="E14" s="1">
        <v>80</v>
      </c>
      <c r="F14" s="1">
        <v>81</v>
      </c>
      <c r="G14" s="1">
        <v>75</v>
      </c>
      <c r="H14" s="7">
        <f>SUMPRODUCT($B$11:$G$11,B14:G14)</f>
        <v>84.100000000000009</v>
      </c>
    </row>
    <row r="15" spans="1:10" x14ac:dyDescent="0.25">
      <c r="H15" s="5"/>
      <c r="I15" s="4"/>
    </row>
    <row r="16" spans="1:10" ht="30" x14ac:dyDescent="0.25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23</v>
      </c>
      <c r="I16" s="4"/>
    </row>
    <row r="17" spans="1:10" x14ac:dyDescent="0.25">
      <c r="A17" s="1" t="s">
        <v>7</v>
      </c>
      <c r="B17" s="1">
        <v>0.2</v>
      </c>
      <c r="C17" s="1">
        <v>0.2</v>
      </c>
      <c r="D17" s="1">
        <v>0.15</v>
      </c>
      <c r="E17" s="1">
        <v>0.1</v>
      </c>
      <c r="F17" s="1">
        <f>F11*2</f>
        <v>0.3</v>
      </c>
      <c r="G17" s="1">
        <v>0.05</v>
      </c>
      <c r="H17" s="1"/>
      <c r="J17">
        <f>SUM(B17:G17)</f>
        <v>1</v>
      </c>
    </row>
    <row r="18" spans="1:10" x14ac:dyDescent="0.25">
      <c r="A18" s="1" t="s">
        <v>31</v>
      </c>
      <c r="B18" s="1">
        <v>86</v>
      </c>
      <c r="C18" s="1">
        <v>72</v>
      </c>
      <c r="D18" s="1">
        <v>86</v>
      </c>
      <c r="E18" s="1">
        <v>94</v>
      </c>
      <c r="F18" s="1">
        <v>99</v>
      </c>
      <c r="G18" s="1">
        <v>96</v>
      </c>
      <c r="H18" s="7">
        <f>SUMPRODUCT($B$17:$G$17,B18:G18)</f>
        <v>88.399999999999991</v>
      </c>
    </row>
    <row r="19" spans="1:10" x14ac:dyDescent="0.25">
      <c r="A19" s="1" t="s">
        <v>32</v>
      </c>
      <c r="B19" s="1">
        <v>72</v>
      </c>
      <c r="C19" s="1">
        <v>77</v>
      </c>
      <c r="D19" s="1">
        <v>90</v>
      </c>
      <c r="E19" s="1">
        <v>86</v>
      </c>
      <c r="F19" s="1">
        <v>89</v>
      </c>
      <c r="G19" s="1">
        <v>85</v>
      </c>
      <c r="H19" s="7">
        <f t="shared" ref="H19:H20" si="0">SUMPRODUCT($B$17:$G$17,B19:G19)</f>
        <v>82.85</v>
      </c>
    </row>
    <row r="20" spans="1:10" x14ac:dyDescent="0.25">
      <c r="A20" s="1" t="s">
        <v>33</v>
      </c>
      <c r="B20" s="1">
        <v>90</v>
      </c>
      <c r="C20" s="1">
        <v>91</v>
      </c>
      <c r="D20" s="1">
        <v>90</v>
      </c>
      <c r="E20" s="1">
        <v>80</v>
      </c>
      <c r="F20" s="1">
        <v>81</v>
      </c>
      <c r="G20" s="1">
        <v>75</v>
      </c>
      <c r="H20" s="7">
        <f t="shared" si="0"/>
        <v>85.75</v>
      </c>
    </row>
    <row r="22" spans="1:10" ht="30" x14ac:dyDescent="0.25">
      <c r="A22" s="3" t="s">
        <v>24</v>
      </c>
      <c r="B22" s="3" t="s">
        <v>25</v>
      </c>
      <c r="C22" s="3" t="s">
        <v>26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23</v>
      </c>
    </row>
    <row r="23" spans="1:10" x14ac:dyDescent="0.25">
      <c r="A23" s="1" t="s">
        <v>7</v>
      </c>
      <c r="B23" s="6">
        <f>1/6</f>
        <v>0.16666666666666666</v>
      </c>
      <c r="C23" s="6">
        <f t="shared" ref="C23:G23" si="1">1/6</f>
        <v>0.16666666666666666</v>
      </c>
      <c r="D23" s="6">
        <f t="shared" si="1"/>
        <v>0.16666666666666666</v>
      </c>
      <c r="E23" s="6">
        <f t="shared" si="1"/>
        <v>0.16666666666666666</v>
      </c>
      <c r="F23" s="6">
        <f t="shared" si="1"/>
        <v>0.16666666666666666</v>
      </c>
      <c r="G23" s="6">
        <f t="shared" si="1"/>
        <v>0.16666666666666666</v>
      </c>
      <c r="H23" s="1"/>
      <c r="J23">
        <f>SUM(B23:G23)</f>
        <v>0.99999999999999989</v>
      </c>
    </row>
    <row r="24" spans="1:10" x14ac:dyDescent="0.25">
      <c r="A24" s="1" t="s">
        <v>31</v>
      </c>
      <c r="B24" s="1">
        <v>86</v>
      </c>
      <c r="C24" s="1">
        <v>72</v>
      </c>
      <c r="D24" s="1">
        <v>86</v>
      </c>
      <c r="E24" s="1">
        <v>94</v>
      </c>
      <c r="F24" s="1">
        <v>99</v>
      </c>
      <c r="G24" s="1">
        <v>96</v>
      </c>
      <c r="H24" s="7">
        <f>SUMPRODUCT($B$23:$G$23,B24:G24)</f>
        <v>88.833333333333329</v>
      </c>
    </row>
    <row r="25" spans="1:10" x14ac:dyDescent="0.25">
      <c r="A25" s="1" t="s">
        <v>32</v>
      </c>
      <c r="B25" s="1">
        <v>72</v>
      </c>
      <c r="C25" s="1">
        <v>77</v>
      </c>
      <c r="D25" s="1">
        <v>90</v>
      </c>
      <c r="E25" s="1">
        <v>86</v>
      </c>
      <c r="F25" s="1">
        <v>89</v>
      </c>
      <c r="G25" s="1">
        <v>85</v>
      </c>
      <c r="H25" s="7">
        <f t="shared" ref="H25:H26" si="2">SUMPRODUCT($B$23:$G$23,B25:G25)</f>
        <v>83.166666666666657</v>
      </c>
    </row>
    <row r="26" spans="1:10" x14ac:dyDescent="0.25">
      <c r="A26" s="1" t="s">
        <v>33</v>
      </c>
      <c r="B26" s="1">
        <v>90</v>
      </c>
      <c r="C26" s="1">
        <v>91</v>
      </c>
      <c r="D26" s="1">
        <v>90</v>
      </c>
      <c r="E26" s="1">
        <v>80</v>
      </c>
      <c r="F26" s="1">
        <v>81</v>
      </c>
      <c r="G26" s="1">
        <v>75</v>
      </c>
      <c r="H26" s="7">
        <f t="shared" si="2"/>
        <v>84.5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K19"/>
  <sheetViews>
    <sheetView workbookViewId="0">
      <selection activeCell="F14" sqref="F14"/>
    </sheetView>
  </sheetViews>
  <sheetFormatPr defaultRowHeight="15" x14ac:dyDescent="0.25"/>
  <cols>
    <col min="1" max="1" width="21.42578125" bestFit="1" customWidth="1"/>
    <col min="4" max="4" width="12.42578125" bestFit="1" customWidth="1"/>
    <col min="5" max="5" width="16" bestFit="1" customWidth="1"/>
    <col min="6" max="6" width="16" customWidth="1"/>
    <col min="10" max="10" width="12.28515625" customWidth="1"/>
  </cols>
  <sheetData>
    <row r="10" spans="1:10" s="2" customFormat="1" ht="30" x14ac:dyDescent="0.25">
      <c r="A10" s="3" t="s">
        <v>7</v>
      </c>
      <c r="B10" s="3" t="s">
        <v>8</v>
      </c>
      <c r="C10" s="3" t="s">
        <v>10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9</v>
      </c>
      <c r="I10" s="3" t="s">
        <v>22</v>
      </c>
      <c r="J10" s="3" t="s">
        <v>23</v>
      </c>
    </row>
    <row r="11" spans="1:10" x14ac:dyDescent="0.25">
      <c r="A11" s="1" t="s">
        <v>11</v>
      </c>
      <c r="B11" s="1">
        <v>0.2</v>
      </c>
      <c r="C11" s="1">
        <v>0.2</v>
      </c>
      <c r="D11" s="1">
        <v>0.15</v>
      </c>
      <c r="E11" s="1">
        <v>0.1</v>
      </c>
      <c r="F11" s="1">
        <v>0.1</v>
      </c>
      <c r="G11" s="1">
        <v>0.1</v>
      </c>
      <c r="H11" s="1">
        <v>0.05</v>
      </c>
      <c r="I11" s="1">
        <v>0.05</v>
      </c>
      <c r="J11" s="1"/>
    </row>
    <row r="12" spans="1:10" x14ac:dyDescent="0.25">
      <c r="A12" s="1" t="s">
        <v>12</v>
      </c>
      <c r="B12" s="1">
        <v>90</v>
      </c>
      <c r="C12" s="1">
        <v>60</v>
      </c>
      <c r="D12" s="1">
        <v>70</v>
      </c>
      <c r="E12" s="1">
        <v>80</v>
      </c>
      <c r="F12" s="1">
        <v>60</v>
      </c>
      <c r="G12" s="1">
        <v>100</v>
      </c>
      <c r="H12" s="1">
        <v>60</v>
      </c>
      <c r="I12" s="1">
        <v>80</v>
      </c>
      <c r="J12" s="1">
        <f>SUMPRODUCT($B$11:$I$11,B12:I12)</f>
        <v>71.5</v>
      </c>
    </row>
    <row r="13" spans="1:10" x14ac:dyDescent="0.25">
      <c r="A13" s="1" t="s">
        <v>13</v>
      </c>
      <c r="B13" s="1">
        <v>90</v>
      </c>
      <c r="C13" s="1">
        <v>70</v>
      </c>
      <c r="D13" s="1">
        <v>80</v>
      </c>
      <c r="E13" s="1">
        <v>80</v>
      </c>
      <c r="F13" s="1">
        <v>60</v>
      </c>
      <c r="G13" s="1">
        <v>60</v>
      </c>
      <c r="H13" s="1">
        <v>60</v>
      </c>
      <c r="I13" s="1">
        <v>80</v>
      </c>
      <c r="J13" s="1">
        <f t="shared" ref="J13:J17" si="0">SUMPRODUCT($B$11:$I$11,B13:I13)</f>
        <v>71</v>
      </c>
    </row>
    <row r="14" spans="1:10" x14ac:dyDescent="0.25">
      <c r="A14" s="1" t="s">
        <v>14</v>
      </c>
      <c r="B14" s="1">
        <v>90</v>
      </c>
      <c r="C14" s="1">
        <v>50</v>
      </c>
      <c r="D14" s="1">
        <v>90</v>
      </c>
      <c r="E14" s="1">
        <v>80</v>
      </c>
      <c r="F14" s="1">
        <v>60</v>
      </c>
      <c r="G14" s="1">
        <v>60</v>
      </c>
      <c r="H14" s="1">
        <v>100</v>
      </c>
      <c r="I14" s="1">
        <v>90</v>
      </c>
      <c r="J14" s="1">
        <f t="shared" si="0"/>
        <v>71</v>
      </c>
    </row>
    <row r="15" spans="1:10" x14ac:dyDescent="0.25">
      <c r="A15" s="1" t="s">
        <v>15</v>
      </c>
      <c r="B15" s="1">
        <v>80</v>
      </c>
      <c r="C15" s="1">
        <v>70</v>
      </c>
      <c r="D15" s="1">
        <v>70</v>
      </c>
      <c r="E15" s="1">
        <v>80</v>
      </c>
      <c r="F15" s="1">
        <v>60</v>
      </c>
      <c r="G15" s="1">
        <v>40</v>
      </c>
      <c r="H15" s="1">
        <v>30</v>
      </c>
      <c r="I15" s="1">
        <v>60</v>
      </c>
      <c r="J15" s="1">
        <f t="shared" si="0"/>
        <v>63</v>
      </c>
    </row>
    <row r="16" spans="1:10" x14ac:dyDescent="0.25">
      <c r="A16" s="1" t="s">
        <v>16</v>
      </c>
      <c r="B16" s="1">
        <v>80</v>
      </c>
      <c r="C16" s="1">
        <v>80</v>
      </c>
      <c r="D16" s="1">
        <v>80</v>
      </c>
      <c r="E16" s="1">
        <v>80</v>
      </c>
      <c r="F16" s="1">
        <v>60</v>
      </c>
      <c r="G16" s="1">
        <v>45</v>
      </c>
      <c r="H16" s="1">
        <v>40</v>
      </c>
      <c r="I16" s="1">
        <v>60</v>
      </c>
      <c r="J16" s="1">
        <f t="shared" si="0"/>
        <v>67.5</v>
      </c>
    </row>
    <row r="17" spans="1:11" x14ac:dyDescent="0.25">
      <c r="A17" s="1" t="s">
        <v>17</v>
      </c>
      <c r="B17" s="1">
        <v>70</v>
      </c>
      <c r="C17" s="1">
        <v>40</v>
      </c>
      <c r="D17" s="1">
        <v>60</v>
      </c>
      <c r="E17" s="1">
        <v>70</v>
      </c>
      <c r="F17" s="1">
        <v>90</v>
      </c>
      <c r="G17" s="1">
        <v>40</v>
      </c>
      <c r="H17" s="1">
        <v>80</v>
      </c>
      <c r="I17" s="1">
        <v>90</v>
      </c>
      <c r="J17" s="1">
        <f t="shared" si="0"/>
        <v>59.5</v>
      </c>
    </row>
    <row r="18" spans="1:11" x14ac:dyDescent="0.25">
      <c r="I18" s="4"/>
      <c r="J18" s="5"/>
      <c r="K18" s="4"/>
    </row>
    <row r="19" spans="1:11" x14ac:dyDescent="0.25">
      <c r="I19" s="4"/>
      <c r="J19" s="4"/>
      <c r="K19" s="4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LAB_01 (task 2)</vt:lpstr>
      <vt:lpstr>LAB_01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ABUBAKAR ATIQ</dc:creator>
  <cp:lastModifiedBy>Lenovo</cp:lastModifiedBy>
  <dcterms:created xsi:type="dcterms:W3CDTF">2025-10-16T06:35:16Z</dcterms:created>
  <dcterms:modified xsi:type="dcterms:W3CDTF">2025-10-18T14:09:08Z</dcterms:modified>
</cp:coreProperties>
</file>